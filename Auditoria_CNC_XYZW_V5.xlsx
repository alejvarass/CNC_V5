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Scoring" sheetId="2" state="visible" r:id="rId4"/>
    <sheet name="Defectos V5" sheetId="3" state="visible" r:id="rId5"/>
    <sheet name="Evolución V4-V5" sheetId="4" state="visible" r:id="rId6"/>
    <sheet name="Virtudes" sheetId="5" state="visible" r:id="rId7"/>
    <sheet name="Comparación" sheetId="6" state="visible" r:id="rId8"/>
    <sheet name="Hoja de ruta" sheetId="7" state="visible" r:id="rId9"/>
  </sheets>
  <definedNames>
    <definedName function="false" hidden="true" localSheetId="2" name="_xlnm._FilterDatabase" vbProcedure="false">'Defectos V5'!$A$4:$I$26</definedName>
    <definedName function="false" hidden="true" localSheetId="3" name="_xlnm._FilterDatabase" vbProcedure="false">'Evolución V4-V5'!$A$4:$E$33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<sst xmlns="http://schemas.openxmlformats.org/spreadsheetml/2006/main" count="528" uniqueCount="344">
  <si>
    <t xml:space="preserve">Auditoría CNC XYZW V5 - Resumen ejecutivo</t>
  </si>
  <si>
    <t xml:space="preserve">Fuente: CNC_V5.ino (2119 líneas) y CNC_V5.py (2851 líneas), comparados con V4 (firmware) y V3 (cliente). Análisis estático, sin pruebas en hardware.</t>
  </si>
  <si>
    <t xml:space="preserve">Indicador</t>
  </si>
  <si>
    <t xml:space="preserve">V2</t>
  </si>
  <si>
    <t xml:space="preserve">V3</t>
  </si>
  <si>
    <t xml:space="preserve">V4</t>
  </si>
  <si>
    <t xml:space="preserve">V5</t>
  </si>
  <si>
    <t xml:space="preserve">Puntaje global (/10)</t>
  </si>
  <si>
    <t xml:space="preserve">Puntaje sobre 100</t>
  </si>
  <si>
    <t xml:space="preserve">Clasificación</t>
  </si>
  <si>
    <t xml:space="preserve">Defectos de V5</t>
  </si>
  <si>
    <t xml:space="preserve">Cantidad</t>
  </si>
  <si>
    <t xml:space="preserve">Evolución de los 29 defectos de V4</t>
  </si>
  <si>
    <t xml:space="preserve">Críticos</t>
  </si>
  <si>
    <t xml:space="preserve">Resuelto</t>
  </si>
  <si>
    <t xml:space="preserve">Altos</t>
  </si>
  <si>
    <t xml:space="preserve">Parcial</t>
  </si>
  <si>
    <t xml:space="preserve">Medios</t>
  </si>
  <si>
    <t xml:space="preserve">Abierto</t>
  </si>
  <si>
    <t xml:space="preserve">Total</t>
  </si>
  <si>
    <t xml:space="preserve">Nuevos en V5</t>
  </si>
  <si>
    <t xml:space="preserve">% resuelto</t>
  </si>
  <si>
    <t xml:space="preserve">Resueltos o descartados</t>
  </si>
  <si>
    <t xml:space="preserve">Puntos a Beta (65)</t>
  </si>
  <si>
    <t xml:space="preserve">Avance de remediación</t>
  </si>
  <si>
    <t xml:space="preserve">Veredicto</t>
  </si>
  <si>
    <t xml:space="preserve">La V5 es la versión con mejor arquitectura y funcionalidad hasta ahora, pero sigue sin ser apta para operar sin supervisión por dos regresiones de arreglo corto: N19 (movimientos que se descartan en silencio tras un stop) y N20 (E-stop con polaridad invertida). Con N19 a N22 corregidos, el puntaje estimado supera 7.</t>
  </si>
  <si>
    <t xml:space="preserve">Contenido del libro</t>
  </si>
  <si>
    <t xml:space="preserve">Scoring: notas V2 a V5 editables, deltas, totales y clasificación recalculados</t>
  </si>
  <si>
    <t xml:space="preserve">Defectos V5: 22 hallazgos con origen, severidad, corrección y estado</t>
  </si>
  <si>
    <t xml:space="preserve">Evolución V4-V5: estado de los 29 defectos de la V4</t>
  </si>
  <si>
    <t xml:space="preserve">Virtudes</t>
  </si>
  <si>
    <t xml:space="preserve">Comparación con GRBL, grblHAL, FluidNC, Marlin y LinuxCNC</t>
  </si>
  <si>
    <t xml:space="preserve">Hoja de ruta: avance calculado desde Defectos V5</t>
  </si>
  <si>
    <t xml:space="preserve">Colores: azul = dato editable; negro = fórmula; verde = vínculo a otra hoja.</t>
  </si>
  <si>
    <t xml:space="preserve">Scoring ponderado - CNC XYZW V5 (ESP32 + PySide6)</t>
  </si>
  <si>
    <t xml:space="preserve">Pesos y notas (azul) son juicio del auditor y editables; totales, deltas y clasificación se recalculan. Nota 0-10.</t>
  </si>
  <si>
    <t xml:space="preserve">Categoría</t>
  </si>
  <si>
    <t xml:space="preserve">Peso</t>
  </si>
  <si>
    <t xml:space="preserve">Delta V5-V4</t>
  </si>
  <si>
    <t xml:space="preserve">Ponderado V5</t>
  </si>
  <si>
    <t xml:space="preserve">Justificación V5</t>
  </si>
  <si>
    <t xml:space="preserve">Arquitectura / tiempo real</t>
  </si>
  <si>
    <t xml:space="preserve">Mutex consistente, stopEpoch, extracción atómica de la cola, tarea de motores con prioridad 5.</t>
  </si>
  <si>
    <t xml:space="preserve">Control de movimiento</t>
  </si>
  <si>
    <t xml:space="preserve">Look-ahead y límite de velocidad por eje; la aceleración no gobierna la rampa y N19 descarta bloques tras un stop.</t>
  </si>
  <si>
    <t xml:space="preserve">Seguridad funcional</t>
  </si>
  <si>
    <t xml:space="preserve">E-stop físico con ISR, pero con polaridad invertida (N20); N12 sin resolver.</t>
  </si>
  <si>
    <t xml:space="preserve">Compatibilidad G-code</t>
  </si>
  <si>
    <t xml:space="preserve">Arcos I/J, G4, G28, comentarios; sin control de flujo diferido (N22).</t>
  </si>
  <si>
    <t xml:space="preserve">Robustez del software</t>
  </si>
  <si>
    <t xml:space="preserve">Mejoras compensadas por N19, N21 y N22.</t>
  </si>
  <si>
    <t xml:space="preserve">Ciberseguridad / red</t>
  </si>
  <si>
    <t xml:space="preserve">Token opcional, desactivado por defecto, en claro y sin límite de intentos.</t>
  </si>
  <si>
    <t xml:space="preserve">UX / herramientas (visión, calibración)</t>
  </si>
  <si>
    <t xml:space="preserve">Cargador G-code, reconexión, E-stop con ACK, cámara en hilo propio.</t>
  </si>
  <si>
    <t xml:space="preserve">Mantenibilidad</t>
  </si>
  <si>
    <t xml:space="preserve">Versión de firmware visible; siguen los monolitos sin tests.</t>
  </si>
  <si>
    <t xml:space="preserve">Precisión / calibración</t>
  </si>
  <si>
    <t xml:space="preserve">Backlash, umbral de calibración y recorrido separado; lazo abierto.</t>
  </si>
  <si>
    <t xml:space="preserve">TOTAL (/10)</t>
  </si>
  <si>
    <t xml:space="preserve">Umbrales: &gt;=80 Producción, &gt;=65 Beta avanzada, &gt;=40 Prototipo funcional, &lt;40 Experimental (criterio del auditor).</t>
  </si>
  <si>
    <t xml:space="preserve">Puntos para llegar a Beta avanzada (65):</t>
  </si>
  <si>
    <t xml:space="preserve">Registro de defectos - V5</t>
  </si>
  <si>
    <t xml:space="preserve">Lectura estática; N19, N20 y N21 verificados con grep sobre el código. Estado y Responsable son para completar.</t>
  </si>
  <si>
    <t xml:space="preserve">ID</t>
  </si>
  <si>
    <t xml:space="preserve">Severidad</t>
  </si>
  <si>
    <t xml:space="preserve">Origen</t>
  </si>
  <si>
    <t xml:space="preserve">Área</t>
  </si>
  <si>
    <t xml:space="preserve">Problema</t>
  </si>
  <si>
    <t xml:space="preserve">Corrección propuesta</t>
  </si>
  <si>
    <t xml:space="preserve">Paso hoja de ruta</t>
  </si>
  <si>
    <t xml:space="preserve">Estado</t>
  </si>
  <si>
    <t xml:space="preserve">Responsable</t>
  </si>
  <si>
    <t xml:space="preserve">N19</t>
  </si>
  <si>
    <t xml:space="preserve">Crítico</t>
  </si>
  <si>
    <t xml:space="preserve">Nuevo en V5 (regresión)</t>
  </si>
  <si>
    <t xml:space="preserve">Firmware - movimiento</t>
  </si>
  <si>
    <t xml:space="preserve">manualStop queda en true tras cualquier stop: stopAllMotion() lo activa y executeBlock ya no lo borra. Solo se limpia al aceptar home_axis o move_axis_abs/rel. executeBlock lo revisa en el primer paso, así que tras '!', 0x18, timeout o E-stop físico todo bloque de la cola (G-code, move_multi_abs, $J) aborta en silencio aunque el firmware ya respondió ok. El secuenciador lo toma como fin de movimiento y avanza; en una secuencia mixta solo se ejecutan los movimientos de un eje.</t>
  </si>
  <si>
    <t xml:space="preserve">Dejar de usar manualStop en executeBlock y confiar solo en stopEpoch, o limpiarlo al aceptar cada movimiento encolado.</t>
  </si>
  <si>
    <t xml:space="preserve">Pendiente</t>
  </si>
  <si>
    <t xml:space="preserve">N20</t>
  </si>
  <si>
    <t xml:space="preserve">Nuevo en V5</t>
  </si>
  <si>
    <t xml:space="preserve">Seguridad - E-stop físico</t>
  </si>
  <si>
    <t xml:space="preserve">Polaridad invertida. El encabezado documenta botón NC a GND con INPUT_PULLUP, pero el código trata LOW como pulsado y usa FALLING. Cableado como se documenta, el reposo es LOW: arranca bloqueado y nunca habilita. Cableado NO para que funcione, un cable cortado no se detecta y deja de ser fail-safe.</t>
  </si>
  <si>
    <t xml:space="preserve">Con NC a GND el estado activo es HIGH: usar RISING y cambiar los tres == LOW y el chequeo de arranque. Verificar el cableado real.</t>
  </si>
  <si>
    <t xml:space="preserve">N12</t>
  </si>
  <si>
    <t xml:space="preserve">Alto</t>
  </si>
  <si>
    <t xml:space="preserve">Heredado V4 (abierto)</t>
  </si>
  <si>
    <t xml:space="preserve">Firmware - ALARM</t>
  </si>
  <si>
    <t xml:space="preserve">Recuperarse de una ALARM reanuda estado obsoleto. $X y enable_actuators no vacían la cola. La tarea de motores no atiende nada en ALARM, por lo que las solicitudes pendientes de home_axis o move_axis_* se ejecutan al desbloquear: un fallo en $H seguido de $X puede arrancar el homing de otro eje sin que nadie lo pida.</t>
  </si>
  <si>
    <t xml:space="preserve">Vaciar cola, solicitudes pendientes y resincronizar plannedPos en toda salida de ALARM; fallar sin desbloquear si no se logra.</t>
  </si>
  <si>
    <t xml:space="preserve">N13</t>
  </si>
  <si>
    <t xml:space="preserve">Firmware - coordenadas</t>
  </si>
  <si>
    <t xml:space="preserve">G10, G92 y set_zero_axis fijan el offset con la posición en vivo (ax.pos) y responden ok al instante. Con bloques pendientes, el cero de trabajo queda sobre una posición intermedia.</t>
  </si>
  <si>
    <t xml:space="preserve">Definir wco contra plannedPos (final de la cola) o encolarlo como bloque sincronizado.</t>
  </si>
  <si>
    <t xml:space="preserve">N21</t>
  </si>
  <si>
    <t xml:space="preserve">Cliente / firmware - watchdog</t>
  </si>
  <si>
    <t xml:space="preserve">Sin heartbeat en modo compacto (el modo por defecto). El cliente solo inicia el polling en GRBL, así que el GET_STATUS pensado como heartbeat nunca se envía. Cualquier movimiento compacto de más de 3 s dispara Comm Timeout; el firmware lo detiene y el secuenciador lo interpreta como movimiento terminado.</t>
  </si>
  <si>
    <t xml:space="preserve">Iniciar un timer de heartbeat en ambos modos (p. ej. cada 500 ms) mientras haya conexión.</t>
  </si>
  <si>
    <t xml:space="preserve">N22</t>
  </si>
  <si>
    <t xml:space="preserve">Protocolo / cliente G-code</t>
  </si>
  <si>
    <t xml:space="preserve">El cargador de G-code aborta con error:Queue full. Solo los arcos esperan hueco en la cola; los G1 devuelven error con 16 bloques pendientes. El cargador trata cualquier error: como fatal y su parada manda '!', que además deshabilita los drivers. Casi cualquier programa de más de ~16 líneas de movimiento aborta.</t>
  </si>
  <si>
    <t xml:space="preserve">Diferir el ok hasta que haya hueco (como GRBL) o reintentar ante Queue full en el cliente; separar DETENER (feed hold) de E-stop.</t>
  </si>
  <si>
    <t xml:space="preserve">C5</t>
  </si>
  <si>
    <t xml:space="preserve">Heredado V4 (parcial)</t>
  </si>
  <si>
    <t xml:space="preserve">Ciberseguridad</t>
  </si>
  <si>
    <t xml:space="preserve">Autenticación opcional y desactivada por defecto. El token viaja en claro, sin límite de intentos. Una sesión sin autenticar ocupa el único cupo de conexión. Los senders GRBL estándar no pueden autenticarse cuando está activa.</t>
  </si>
  <si>
    <t xml:space="preserve">Token obligatorio, límite de intentos, timeout de sesión sin autenticar y segmentación de red.</t>
  </si>
  <si>
    <t xml:space="preserve">C2r</t>
  </si>
  <si>
    <t xml:space="preserve">Medio</t>
  </si>
  <si>
    <t xml:space="preserve">Seguridad</t>
  </si>
  <si>
    <t xml:space="preserve">El corte por ISR solo baja ENABLE; el corte de potencia queda como recomendación. Si loop() se bloquea en un cl.print, el stop por software se retrasa.</t>
  </si>
  <si>
    <t xml:space="preserve">Cablear el E-stop en serie con la potencia de los drivers; timeouts de escritura TCP.</t>
  </si>
  <si>
    <t xml:space="preserve">N15</t>
  </si>
  <si>
    <t xml:space="preserve">Firmware - planificación</t>
  </si>
  <si>
    <t xml:space="preserve">Los bloques guardan pasos precomputados y al terminar fuerzan pos = target (ahora solo en ejes con movimiento; sigue ocultando error). move_axis_rel calcula desde la posición en vivo.</t>
  </si>
  <si>
    <t xml:space="preserve">Calcular deltas al ejecutar o bloquear movimientos no encolados con la cola no vacía.</t>
  </si>
  <si>
    <t xml:space="preserve">Backlog</t>
  </si>
  <si>
    <t xml:space="preserve">N16</t>
  </si>
  <si>
    <t xml:space="preserve">Cliente / firmware - coordenadas</t>
  </si>
  <si>
    <t xml:space="preserve">La telemetría compacta no envía wco: Set Zero no cambia lo que muestra la UI y el modo compacto usa coordenadas de máquina mientras GRBL usa coordenadas de trabajo.</t>
  </si>
  <si>
    <t xml:space="preserve">Agregar wco a la telemetría y unificar el sistema de coordenadas de ambos protocolos.</t>
  </si>
  <si>
    <t xml:space="preserve">N17</t>
  </si>
  <si>
    <t xml:space="preserve">Firmware - calibración</t>
  </si>
  <si>
    <t xml:space="preserve">reset_step_counter pone pos, wco y plannedPos en 0 sin invalidar homed; set_calibration_axis cambia stepsPerMm sin reescalar la posición.</t>
  </si>
  <si>
    <t xml:space="preserve">Invalidar homed y exigir re-referenciado tras calibrar.</t>
  </si>
  <si>
    <t xml:space="preserve">A5</t>
  </si>
  <si>
    <t xml:space="preserve">Look-ahead incompleto. La aceleración en mm/s² no gobierna la rampa: esta es un porcentaje de los pasos, por lo que con segmentos cortos la aceleración efectiva puede ser decenas de veces la configurada. No hay pasada hacia adelante y la pasada hacia atrás no procesa el par del bloque de cola. El modelo de unión es ad hoc y presenta una discontinuidad cerca de 5.7°.</t>
  </si>
  <si>
    <t xml:space="preserve">Rampa derivada de la aceleración real, pasada hacia adelante y junction deviation estándar.</t>
  </si>
  <si>
    <t xml:space="preserve">A1r</t>
  </si>
  <si>
    <t xml:space="preserve">Firmware - concurrencia</t>
  </si>
  <si>
    <t xml:space="preserve">pos, wco y las banderas siguen compartidos sin sincronización. 0x85 resincroniza plannedPos aunque queden bloques que no son de jog.</t>
  </si>
  <si>
    <t xml:space="preserve">Proteger el estado compartido y limitar la resincronización a lo que realmente se descartó.</t>
  </si>
  <si>
    <t xml:space="preserve">N6</t>
  </si>
  <si>
    <t xml:space="preserve">Firmware - validación</t>
  </si>
  <si>
    <t xml:space="preserve">NaN e Inf pasan inLim (no se agregó isfinite) y pueden contaminar plannedPos.</t>
  </si>
  <si>
    <t xml:space="preserve">Rechazar valores no finitos en inLim y en el planificador.</t>
  </si>
  <si>
    <t xml:space="preserve">N14</t>
  </si>
  <si>
    <t xml:space="preserve">Protocolo GRBL</t>
  </si>
  <si>
    <t xml:space="preserve">$J absoluto ignora wco y es inconsistente con G1.</t>
  </si>
  <si>
    <t xml:space="preserve">Aplicar wco en $J absoluto.</t>
  </si>
  <si>
    <t xml:space="preserve">N25</t>
  </si>
  <si>
    <t xml:space="preserve">G-code / arcos</t>
  </si>
  <si>
    <t xml:space="preserve">Los arcos bloquean loop() hasta 5 s por segmento, así que '?' y los comandos compactos quedan sin respuesta. No se verifica el error de radio. Las líneas con N y G53 no se aceptan.</t>
  </si>
  <si>
    <t xml:space="preserve">Encolar arcos de forma incremental sin bloquear loop(); validar radio; aceptar N y G53.</t>
  </si>
  <si>
    <t xml:space="preserve">N26</t>
  </si>
  <si>
    <t xml:space="preserve">Cliente - jog GRBL</t>
  </si>
  <si>
    <t xml:space="preserve">El jog ignora la velocidad configurada (fijo en F600) y satura la cola con un tramo de 2 mm en cada tick del deadman, generando errores repetidos.</t>
  </si>
  <si>
    <t xml:space="preserve">Derivar el feed de la velocidad de jog y limitar la profundidad enviada.</t>
  </si>
  <si>
    <t xml:space="preserve">M2</t>
  </si>
  <si>
    <t xml:space="preserve">Temporización</t>
  </si>
  <si>
    <t xml:space="preserve">Jitter residual por task-notify y piso de 80 µs.</t>
  </si>
  <si>
    <t xml:space="preserve">Generación de pasos por RMT/MCPWM o ISR dedicada.</t>
  </si>
  <si>
    <t xml:space="preserve">M3</t>
  </si>
  <si>
    <t xml:space="preserve">Hardware / GPIO</t>
  </si>
  <si>
    <t xml:space="preserve">GPIO34 sin pull-up interno; GPIO4 y GPIO15 de strapping; ENABLE sin pull-up. Quedaron solo documentados.</t>
  </si>
  <si>
    <t xml:space="preserve">Pull-ups externos y reasignación de pines de strapping.</t>
  </si>
  <si>
    <t xml:space="preserve">M5</t>
  </si>
  <si>
    <t xml:space="preserve">Cliente</t>
  </si>
  <si>
    <t xml:space="preserve">Siguen los except: pass. stop_camera suelta el hilo tras wait(500) aunque siga corriendo, con riesgo de cierre inesperado.</t>
  </si>
  <si>
    <t xml:space="preserve">Registrar excepciones; esperar la salida del hilo antes de liberarlo.</t>
  </si>
  <si>
    <t xml:space="preserve">M7</t>
  </si>
  <si>
    <t xml:space="preserve">Modelo de ejes</t>
  </si>
  <si>
    <t xml:space="preserve">Lazo abierto, sin realimentación ni detección de pérdida de pasos (el backlash ya está compensado).</t>
  </si>
  <si>
    <t xml:space="preserve">Encoder o detección de stall en los ejes críticos.</t>
  </si>
  <si>
    <t xml:space="preserve">M8</t>
  </si>
  <si>
    <t xml:space="preserve">Monolitos sin tests. La versión de firmware ya es visible (GET_VERSION / $I).</t>
  </si>
  <si>
    <t xml:space="preserve">Modularizar y agregar tests.</t>
  </si>
  <si>
    <t xml:space="preserve">Evolución de los 29 defectos de V4 en V5</t>
  </si>
  <si>
    <t xml:space="preserve">Estado verificado contra el diff de firmware (V4→V5) y de cliente (V3→V5).</t>
  </si>
  <si>
    <t xml:space="preserve">ID V4</t>
  </si>
  <si>
    <t xml:space="preserve">Defecto V4</t>
  </si>
  <si>
    <t xml:space="preserve">Estado en V5</t>
  </si>
  <si>
    <t xml:space="preserve">Detalle</t>
  </si>
  <si>
    <t xml:space="preserve">Relacionado en V5</t>
  </si>
  <si>
    <t xml:space="preserve">C2</t>
  </si>
  <si>
    <t xml:space="preserve">E-stop solo software</t>
  </si>
  <si>
    <t xml:space="preserve">Pin físico con ISR y ACK con reintento en el cliente, pero con polaridad invertida.</t>
  </si>
  <si>
    <t xml:space="preserve">N20, C2r</t>
  </si>
  <si>
    <t xml:space="preserve">TCP sin autenticación</t>
  </si>
  <si>
    <t xml:space="preserve">Token por sesión opcional, desactivado por defecto.</t>
  </si>
  <si>
    <t xml:space="preserve">Salir de ALARM reanuda cola obsoleta</t>
  </si>
  <si>
    <t xml:space="preserve">$X y enable_actuators no vacían la cola ni las solicitudes pendientes.</t>
  </si>
  <si>
    <t xml:space="preserve">G10/G92/set_zero no sincronizados con la cola</t>
  </si>
  <si>
    <t xml:space="preserve">Siguen usando la posición en vivo.</t>
  </si>
  <si>
    <t xml:space="preserve">C1r</t>
  </si>
  <si>
    <t xml:space="preserve">Soft limits solo con homed</t>
  </si>
  <si>
    <t xml:space="preserve">Los límites aplican siempre y los ejes sin referenciar devuelven Not homed.</t>
  </si>
  <si>
    <t xml:space="preserve">-</t>
  </si>
  <si>
    <t xml:space="preserve">Sin aceleración real ni look-ahead</t>
  </si>
  <si>
    <t xml:space="preserve">Hay look-ahead y velocidades de unión; la rampa no usa la aceleración.</t>
  </si>
  <si>
    <t xml:space="preserve">Carreras sobre la cola</t>
  </si>
  <si>
    <t xml:space="preserve">Extracción bajo mutex y stopEpoch; el resto del estado sigue compartido.</t>
  </si>
  <si>
    <t xml:space="preserve">N3</t>
  </si>
  <si>
    <t xml:space="preserve">Secuenciador sin esperar fin de movimiento</t>
  </si>
  <si>
    <t xml:space="preserve">Espera Idle con cola vacía y dos lecturas seguidas; Pausa y Set Zero avanzan.</t>
  </si>
  <si>
    <t xml:space="preserve">N4</t>
  </si>
  <si>
    <t xml:space="preserve">Cuelgue ante FULL o error:</t>
  </si>
  <si>
    <t xml:space="preserve">ACK correlacionado, reintento ante FULL y aborto con aviso.</t>
  </si>
  <si>
    <t xml:space="preserve">N5</t>
  </si>
  <si>
    <t xml:space="preserve">Jog GRBL inoperante</t>
  </si>
  <si>
    <t xml:space="preserve">Jog incremental de 2 mm; 0x85 cancela solo jog.</t>
  </si>
  <si>
    <t xml:space="preserve">Setters sin validar (home_axis, NVS, NaN)</t>
  </si>
  <si>
    <t xml:space="preserve">Todo acotado salvo NaN/Inf.</t>
  </si>
  <si>
    <t xml:space="preserve">$J con ejes no nombrados y sin wco</t>
  </si>
  <si>
    <t xml:space="preserve">Usa plannedPos; el absoluto sigue sin wco.</t>
  </si>
  <si>
    <t xml:space="preserve">Pasos precomputados y snap de pos</t>
  </si>
  <si>
    <t xml:space="preserve">Sin cambios relevantes.</t>
  </si>
  <si>
    <t xml:space="preserve">Desalineación cliente/firmware (coordenadas)</t>
  </si>
  <si>
    <t xml:space="preserve">La telemetría compacta no envía wco.</t>
  </si>
  <si>
    <t xml:space="preserve">Calibración desplaza límites</t>
  </si>
  <si>
    <t xml:space="preserve">Sin cambios.</t>
  </si>
  <si>
    <t xml:space="preserve">N18</t>
  </si>
  <si>
    <t xml:space="preserve">Mensajes WiFi eliminados</t>
  </si>
  <si>
    <t xml:space="preserve">Logs [WIFI] por evento GOT_IP y desconexión.</t>
  </si>
  <si>
    <t xml:space="preserve">N8</t>
  </si>
  <si>
    <t xml:space="preserve">~ re-energiza y borra ALARM</t>
  </si>
  <si>
    <t xml:space="preserve">~ solo reanuda; $X exige E-stop liberado.</t>
  </si>
  <si>
    <t xml:space="preserve">N9</t>
  </si>
  <si>
    <t xml:space="preserve">G0 recortado en silencio</t>
  </si>
  <si>
    <t xml:space="preserve">Límite por eje explícito con aviso [MSG:Feed limitado...].</t>
  </si>
  <si>
    <t xml:space="preserve">N10</t>
  </si>
  <si>
    <t xml:space="preserve">Error de soft limit indistinguible de FULL</t>
  </si>
  <si>
    <t xml:space="preserve">Códigos LIMIT, FULL, NOT_HOMED, REJECTED y error: distintos.</t>
  </si>
  <si>
    <t xml:space="preserve">N11</t>
  </si>
  <si>
    <t xml:space="preserve">Abortos de homing sin limpiar estado</t>
  </si>
  <si>
    <t xml:space="preserve">homingAbort() y cola de homing del cliente detenida en ALARM.</t>
  </si>
  <si>
    <t xml:space="preserve">A7r</t>
  </si>
  <si>
    <t xml:space="preserve">maxTravel igual a distancia medida</t>
  </si>
  <si>
    <t xml:space="preserve">Nuevo comando set_travel_axis separado de la calibración.</t>
  </si>
  <si>
    <t xml:space="preserve">M1r</t>
  </si>
  <si>
    <t xml:space="preserve">G-code incompleto</t>
  </si>
  <si>
    <t xml:space="preserve">Arcos, G4, G28, comentarios y minúsculas; faltan líneas N y G53.</t>
  </si>
  <si>
    <t xml:space="preserve">Jitter y piso de 80 µs</t>
  </si>
  <si>
    <t xml:space="preserve">Tarea de motores con prioridad 5; el piso se mantiene.</t>
  </si>
  <si>
    <t xml:space="preserve">GPIO34 / strapping / ENABLE</t>
  </si>
  <si>
    <t xml:space="preserve">Solo documentado en el encabezado.</t>
  </si>
  <si>
    <t xml:space="preserve">M4</t>
  </si>
  <si>
    <t xml:space="preserve">JOG_FREE bloqueante</t>
  </si>
  <si>
    <t xml:space="preserve">Encolado en la tarea de motores con límites.</t>
  </si>
  <si>
    <t xml:space="preserve">Cliente: except, sin reconexión, cámara en GUI</t>
  </si>
  <si>
    <t xml:space="preserve">Reconexión, parseo tolerante y cámara en hilo propio; quedan except: pass.</t>
  </si>
  <si>
    <t xml:space="preserve">M6</t>
  </si>
  <si>
    <t xml:space="preserve">Calibración sin tolerancia</t>
  </si>
  <si>
    <t xml:space="preserve">Umbral de 5% entre pasadas con opción de repetir.</t>
  </si>
  <si>
    <t xml:space="preserve">Lazo abierto, sin backlash</t>
  </si>
  <si>
    <t xml:space="preserve">Backlash por eje y cargador de G-code; sigue sin realimentación.</t>
  </si>
  <si>
    <t xml:space="preserve">Monolitos, sin tests ni versión</t>
  </si>
  <si>
    <t xml:space="preserve">Versión de firmware visible; sin tests.</t>
  </si>
  <si>
    <t xml:space="preserve">Virtudes identificadas - V5</t>
  </si>
  <si>
    <t xml:space="preserve">#</t>
  </si>
  <si>
    <t xml:space="preserve">Virtud</t>
  </si>
  <si>
    <t xml:space="preserve">Movimiento</t>
  </si>
  <si>
    <t xml:space="preserve">Look-ahead real</t>
  </si>
  <si>
    <t xml:space="preserve">Velocidades de unión por ángulo, pasada hacia atrás con aceleración y límite de velocidad por eje.</t>
  </si>
  <si>
    <t xml:space="preserve">Concurrencia</t>
  </si>
  <si>
    <t xml:space="preserve">Sincronización mucho más sólida</t>
  </si>
  <si>
    <t xml:space="preserve">stopEpoch invalida bloques en vuelo; popBlock, popAbsMove y popHomeRequest extraen bajo mutex; purga diferida si falla; tarea de motores con prioridad 5.</t>
  </si>
  <si>
    <t xml:space="preserve">G-code</t>
  </si>
  <si>
    <t xml:space="preserve">Parser mucho más completo</t>
  </si>
  <si>
    <t xml:space="preserve">Comentarios, minúsculas, G4, G28, G2/G3 con pre-validación de límites, G10/G92 con offset de trabajo y $J sin espacios.</t>
  </si>
  <si>
    <t xml:space="preserve">Protocolo</t>
  </si>
  <si>
    <t xml:space="preserve">Diagnóstico claro</t>
  </si>
  <si>
    <t xml:space="preserve">Códigos LIMIT, FULL, NOT_HOMED y REJECTED; versión por GET_VERSION y $I; profundidad de cola en la telemetría.</t>
  </si>
  <si>
    <t xml:space="preserve">Robustez</t>
  </si>
  <si>
    <t xml:space="preserve">Parámetros acotados en todos los caminos</t>
  </si>
  <si>
    <t xml:space="preserve">Setters TCP, serial y carga desde NVS.</t>
  </si>
  <si>
    <t xml:space="preserve">E-stop físico y ACK</t>
  </si>
  <si>
    <t xml:space="preserve">ISR que corta ENABLE; en el cliente, E-stop con ACK y reintento.</t>
  </si>
  <si>
    <t xml:space="preserve">Cliente más robusto</t>
  </si>
  <si>
    <t xml:space="preserve">Cámara en hilo propio, reconexión con backoff, parseo tolerante, secuenciador con watchdog y aborto con aviso.</t>
  </si>
  <si>
    <t xml:space="preserve">Precisión</t>
  </si>
  <si>
    <t xml:space="preserve">Backlash y calibración</t>
  </si>
  <si>
    <t xml:space="preserve">Compensación de backlash por eje y umbral de 5% entre pasadas de calibración.</t>
  </si>
  <si>
    <t xml:space="preserve">Herramientas</t>
  </si>
  <si>
    <t xml:space="preserve">Calibración asistida y medición por cámara</t>
  </si>
  <si>
    <t xml:space="preserve">No vienen de serie en GRBL, grblHAL, FluidNC ni Marlin.</t>
  </si>
  <si>
    <t xml:space="preserve">Cargador de G-code</t>
  </si>
  <si>
    <t xml:space="preserve">Control de flujo línea a línea con aborto ante error (con la salvedad de N22).</t>
  </si>
  <si>
    <t xml:space="preserve">Comparación con otros sistemas</t>
  </si>
  <si>
    <t xml:space="preserve">Estimaciones del auditor basadas en conocimiento general, no mediciones. Puntajes de otros sistemas (azul) editables.</t>
  </si>
  <si>
    <t xml:space="preserve">Criterio</t>
  </si>
  <si>
    <t xml:space="preserve">V5 (este sistema)</t>
  </si>
  <si>
    <t xml:space="preserve">GRBL 1.1</t>
  </si>
  <si>
    <t xml:space="preserve">grblHAL</t>
  </si>
  <si>
    <t xml:space="preserve">FluidNC</t>
  </si>
  <si>
    <t xml:space="preserve">Marlin</t>
  </si>
  <si>
    <t xml:space="preserve">LinuxCNC</t>
  </si>
  <si>
    <t xml:space="preserve">Hardware</t>
  </si>
  <si>
    <t xml:space="preserve">ESP32</t>
  </si>
  <si>
    <t xml:space="preserve">ATmega328</t>
  </si>
  <si>
    <t xml:space="preserve">Varios MCU</t>
  </si>
  <si>
    <t xml:space="preserve">8/32 bit</t>
  </si>
  <si>
    <t xml:space="preserve">PC en tiempo real</t>
  </si>
  <si>
    <t xml:space="preserve">Ejes</t>
  </si>
  <si>
    <t xml:space="preserve">4 lineales</t>
  </si>
  <si>
    <t xml:space="preserve">3</t>
  </si>
  <si>
    <t xml:space="preserve">Hasta 6</t>
  </si>
  <si>
    <t xml:space="preserve">3 + extrusores</t>
  </si>
  <si>
    <t xml:space="preserve">Hasta 9</t>
  </si>
  <si>
    <t xml:space="preserve">Look-ahead / aceleración</t>
  </si>
  <si>
    <t xml:space="preserve">Sí (incompleto)</t>
  </si>
  <si>
    <t xml:space="preserve">Sí</t>
  </si>
  <si>
    <t xml:space="preserve">Parcial+ (arcos I/J, G4, G28)</t>
  </si>
  <si>
    <t xml:space="preserve">Completo</t>
  </si>
  <si>
    <t xml:space="preserve">Control de flujo ok</t>
  </si>
  <si>
    <t xml:space="preserve">No difiere (N22)</t>
  </si>
  <si>
    <t xml:space="preserve">n/a</t>
  </si>
  <si>
    <t xml:space="preserve">Red</t>
  </si>
  <si>
    <t xml:space="preserve">WiFi, token opcional</t>
  </si>
  <si>
    <t xml:space="preserve">No</t>
  </si>
  <si>
    <t xml:space="preserve">Opcional</t>
  </si>
  <si>
    <t xml:space="preserve">WiFi + web UI</t>
  </si>
  <si>
    <t xml:space="preserve">Ethernet / PC</t>
  </si>
  <si>
    <t xml:space="preserve">E-stop</t>
  </si>
  <si>
    <t xml:space="preserve">ISR a ENABLE (polaridad a corregir)</t>
  </si>
  <si>
    <t xml:space="preserve">Pines y alarmas</t>
  </si>
  <si>
    <t xml:space="preserve">Completa</t>
  </si>
  <si>
    <t xml:space="preserve">Backlash</t>
  </si>
  <si>
    <t xml:space="preserve">Visión y calibración asistida</t>
  </si>
  <si>
    <t xml:space="preserve">Puntaje global estimado (/10)</t>
  </si>
  <si>
    <t xml:space="preserve">Diferencia vs. V5</t>
  </si>
  <si>
    <t xml:space="preserve">Posición en el ranking (1 = mejor)</t>
  </si>
  <si>
    <t xml:space="preserve">Hoja de ruta sugerida (por prioridad)</t>
  </si>
  <si>
    <t xml:space="preserve">Totales y avance se calculan desde 'Defectos V5' (columna Paso hoja de ruta y Estado).</t>
  </si>
  <si>
    <t xml:space="preserve">Paso</t>
  </si>
  <si>
    <t xml:space="preserve">Acción</t>
  </si>
  <si>
    <t xml:space="preserve">Defectos relacionados</t>
  </si>
  <si>
    <t xml:space="preserve">Abiertos</t>
  </si>
  <si>
    <t xml:space="preserve">Avance</t>
  </si>
  <si>
    <t xml:space="preserve">N19: dejar de usar manualStop en executeBlock y confiar solo en stopEpoch</t>
  </si>
  <si>
    <t xml:space="preserve">N20: corregir la polaridad del E-stop (activo en HIGH con NC a GND, RISING) y revisar el cableado; evaluar corte de potencia</t>
  </si>
  <si>
    <t xml:space="preserve">N21 y N22: heartbeat en modo compacto; diferir el ok hasta que haya hueco en la cola o reintentar ante Queue full</t>
  </si>
  <si>
    <t xml:space="preserve">N21, N22</t>
  </si>
  <si>
    <t xml:space="preserve">N12 y N13: vaciar cola y solicitudes pendientes al salir de ALARM; definir wco contra plannedPos</t>
  </si>
  <si>
    <t xml:space="preserve">N12, N13</t>
  </si>
  <si>
    <t xml:space="preserve">Validar NaN/Inf, wco en $J absoluto y wco en la telemetría compacta</t>
  </si>
  <si>
    <t xml:space="preserve">N6, N14, N16</t>
  </si>
  <si>
    <t xml:space="preserve">Aplicar la aceleración real a la rampa y completar las pasadas del look-ahead</t>
  </si>
  <si>
    <t xml:space="preserve">A5, A1r</t>
  </si>
  <si>
    <t xml:space="preserve">Autenticación obligatoria, arcos no bloqueantes, tests y modularización</t>
  </si>
  <si>
    <t xml:space="preserve">C5, N25, M8</t>
  </si>
  <si>
    <t xml:space="preserve">Backlog (sin paso asignado)</t>
  </si>
</sst>
</file>

<file path=xl/styles.xml><?xml version="1.0" encoding="utf-8"?>
<styleSheet xmlns="http://schemas.openxmlformats.org/spreadsheetml/2006/main">
  <numFmts count="7">
    <numFmt numFmtId="164" formatCode="General"/>
    <numFmt numFmtId="165" formatCode="0.00"/>
    <numFmt numFmtId="166" formatCode="0.0"/>
    <numFmt numFmtId="167" formatCode="General"/>
    <numFmt numFmtId="168" formatCode="0%"/>
    <numFmt numFmtId="169" formatCode="\+0.0;\-0.0;0.0"/>
    <numFmt numFmtId="170" formatCode="\+0.00;\-0.00;0.00"/>
  </numFmts>
  <fonts count="15">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color rgb="FF008000"/>
      <name val="Arial"/>
      <family val="0"/>
      <charset val="1"/>
    </font>
    <font>
      <b val="true"/>
      <sz val="11"/>
      <color rgb="FF1F3A5F"/>
      <name val="Arial"/>
      <family val="0"/>
      <charset val="1"/>
    </font>
    <font>
      <sz val="10"/>
      <color rgb="FF0000FF"/>
      <name val="Arial"/>
      <family val="0"/>
      <charset val="1"/>
    </font>
    <font>
      <b val="true"/>
      <sz val="10"/>
      <name val="Arial"/>
      <family val="0"/>
      <charset val="1"/>
    </font>
    <font>
      <b val="true"/>
      <sz val="10"/>
      <color rgb="FF0000FF"/>
      <name val="Arial"/>
      <family val="0"/>
      <charset val="1"/>
    </font>
    <font>
      <i val="true"/>
      <sz val="10"/>
      <name val="Arial"/>
      <family val="0"/>
      <charset val="1"/>
    </font>
  </fonts>
  <fills count="4">
    <fill>
      <patternFill patternType="none"/>
    </fill>
    <fill>
      <patternFill patternType="gray125"/>
    </fill>
    <fill>
      <patternFill patternType="solid">
        <fgColor rgb="FF1F3A5F"/>
        <bgColor rgb="FF404040"/>
      </patternFill>
    </fill>
    <fill>
      <patternFill patternType="solid">
        <fgColor rgb="FFDDEBF7"/>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center" vertical="top" textRotation="0" wrapText="true" indent="0" shrinkToFit="false"/>
      <protection locked="true" hidden="false"/>
    </xf>
    <xf numFmtId="166" fontId="11" fillId="0" borderId="1" xfId="0" applyFont="true" applyBorder="true" applyAlignment="true" applyProtection="false">
      <alignment horizontal="center" vertical="top" textRotation="0" wrapText="true" indent="0" shrinkToFit="false"/>
      <protection locked="true" hidden="false"/>
    </xf>
    <xf numFmtId="169"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8" fontId="12" fillId="3" borderId="1" xfId="0" applyFont="true" applyBorder="true" applyAlignment="true" applyProtection="false">
      <alignment horizontal="center" vertical="bottom" textRotation="0" wrapText="false" indent="0" shrinkToFit="false"/>
      <protection locked="true" hidden="false"/>
    </xf>
    <xf numFmtId="165" fontId="12" fillId="3" borderId="1" xfId="0" applyFont="true" applyBorder="true" applyAlignment="true" applyProtection="false">
      <alignment horizontal="center" vertical="bottom" textRotation="0" wrapText="false" indent="0" shrinkToFit="false"/>
      <protection locked="true" hidden="false"/>
    </xf>
    <xf numFmtId="170" fontId="12" fillId="3"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6" fontId="12"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4B6B6"/>
          <bgColor rgb="FF000000"/>
        </patternFill>
      </fill>
    </dxf>
    <dxf>
      <fill>
        <patternFill patternType="solid">
          <fgColor rgb="FFFCD9A8"/>
          <bgColor rgb="FF000000"/>
        </patternFill>
      </fill>
    </dxf>
    <dxf>
      <fill>
        <patternFill patternType="solid">
          <fgColor rgb="FFFFF2B3"/>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b val="1"/>
        <color rgb="FF9C0006"/>
      </font>
      <fill>
        <patternFill>
          <bgColor rgb="FFF4B6B6"/>
        </patternFill>
      </fill>
    </dxf>
    <dxf>
      <font>
        <name val="Arial"/>
        <charset val="1"/>
        <family val="0"/>
        <color rgb="FF9C5700"/>
      </font>
      <fill>
        <patternFill>
          <bgColor rgb="FFFCD9A8"/>
        </patternFill>
      </fill>
    </dxf>
    <dxf>
      <font>
        <name val="Arial"/>
        <charset val="1"/>
        <family val="0"/>
        <color rgb="FF7F6000"/>
      </font>
      <fill>
        <patternFill>
          <bgColor rgb="FFFFF2B3"/>
        </patternFill>
      </fill>
    </dxf>
    <dxf>
      <fill>
        <patternFill patternType="solid">
          <fgColor rgb="FFC6EFCE"/>
          <bgColor rgb="FF000000"/>
        </patternFill>
      </fill>
    </dxf>
    <dxf>
      <fill>
        <patternFill patternType="solid">
          <fgColor rgb="FFEDEDED"/>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404040"/>
          <bgColor rgb="FF000000"/>
        </patternFill>
      </fill>
    </dxf>
    <dxf>
      <font>
        <name val="Arial"/>
        <charset val="1"/>
        <family val="0"/>
        <b val="1"/>
        <color rgb="FF006100"/>
      </font>
      <fill>
        <patternFill>
          <bgColor rgb="FFC6EFCE"/>
        </patternFill>
      </fill>
    </dxf>
    <dxf>
      <font>
        <name val="Arial"/>
        <charset val="1"/>
        <family val="0"/>
        <color rgb="FF7F6000"/>
      </font>
      <fill>
        <patternFill>
          <bgColor rgb="FFFFEB9C"/>
        </patternFill>
      </fill>
    </dxf>
    <dxf>
      <font>
        <name val="Arial"/>
        <charset val="1"/>
        <family val="0"/>
        <color rgb="FF404040"/>
      </font>
      <fill>
        <patternFill>
          <bgColor rgb="FFEDEDE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B3"/>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4B6B6"/>
      <rgbColor rgb="FFCC99FF"/>
      <rgbColor rgb="FFFCD9A8"/>
      <rgbColor rgb="FF3366FF"/>
      <rgbColor rgb="FF33CCCC"/>
      <rgbColor rgb="FF99CC00"/>
      <rgbColor rgb="FFFFCC00"/>
      <rgbColor rgb="FFFF9900"/>
      <rgbColor rgb="FFFF6600"/>
      <rgbColor rgb="FF595959"/>
      <rgbColor rgb="FF969696"/>
      <rgbColor rgb="FF1F3A5F"/>
      <rgbColor rgb="FF339966"/>
      <rgbColor rgb="FF0061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30"/>
    <col collapsed="false" customWidth="true" hidden="false" outlineLevel="0" max="5" min="5"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5" t="n">
        <f aca="false">Scoring!C14</f>
        <v>4.7</v>
      </c>
      <c r="C5" s="5" t="n">
        <f aca="false">Scoring!D14</f>
        <v>5.15</v>
      </c>
      <c r="D5" s="5" t="n">
        <f aca="false">Scoring!E14</f>
        <v>5.71</v>
      </c>
      <c r="E5" s="6" t="n">
        <f aca="false">Scoring!F14</f>
        <v>6.325</v>
      </c>
    </row>
    <row r="6" customFormat="false" ht="15" hidden="false" customHeight="false" outlineLevel="0" collapsed="false">
      <c r="A6" s="4" t="s">
        <v>8</v>
      </c>
      <c r="B6" s="7" t="n">
        <f aca="false">Scoring!C15</f>
        <v>47</v>
      </c>
      <c r="C6" s="7" t="n">
        <f aca="false">Scoring!D15</f>
        <v>51.5</v>
      </c>
      <c r="D6" s="7" t="n">
        <f aca="false">Scoring!E15</f>
        <v>57.1</v>
      </c>
      <c r="E6" s="8" t="n">
        <f aca="false">Scoring!F15</f>
        <v>63.25</v>
      </c>
    </row>
    <row r="7" customFormat="false" ht="15" hidden="false" customHeight="false" outlineLevel="0" collapsed="false">
      <c r="A7" s="4" t="s">
        <v>9</v>
      </c>
      <c r="B7" s="9" t="str">
        <f aca="false">Scoring!C16</f>
        <v>Prototipo funcional</v>
      </c>
      <c r="C7" s="9" t="str">
        <f aca="false">Scoring!D16</f>
        <v>Prototipo funcional</v>
      </c>
      <c r="D7" s="9" t="str">
        <f aca="false">Scoring!E16</f>
        <v>Prototipo funcional</v>
      </c>
      <c r="E7" s="10" t="str">
        <f aca="false">Scoring!F16</f>
        <v>Prototipo funcional</v>
      </c>
    </row>
    <row r="9" customFormat="false" ht="23.85" hidden="false" customHeight="false" outlineLevel="0" collapsed="false">
      <c r="A9" s="3" t="s">
        <v>10</v>
      </c>
      <c r="B9" s="3" t="s">
        <v>11</v>
      </c>
      <c r="C9" s="3"/>
      <c r="D9" s="3" t="s">
        <v>12</v>
      </c>
      <c r="E9" s="3" t="s">
        <v>11</v>
      </c>
    </row>
    <row r="10" customFormat="false" ht="15" hidden="false" customHeight="false" outlineLevel="0" collapsed="false">
      <c r="A10" s="4" t="s">
        <v>13</v>
      </c>
      <c r="B10" s="11" t="n">
        <f aca="false">COUNTIF('Defectos V5'!$B$5:$B$26,"Crítico")</f>
        <v>2</v>
      </c>
      <c r="D10" s="12" t="s">
        <v>14</v>
      </c>
      <c r="E10" s="13" t="n">
        <f aca="false">COUNTIF('Evolución V4-V5'!$C$5:$C$33,D10)</f>
        <v>12</v>
      </c>
    </row>
    <row r="11" customFormat="false" ht="15" hidden="false" customHeight="false" outlineLevel="0" collapsed="false">
      <c r="A11" s="4" t="s">
        <v>15</v>
      </c>
      <c r="B11" s="11" t="n">
        <f aca="false">COUNTIF('Defectos V5'!$B$5:$B$26,"Alto")</f>
        <v>5</v>
      </c>
      <c r="D11" s="12" t="s">
        <v>16</v>
      </c>
      <c r="E11" s="13" t="n">
        <f aca="false">COUNTIF('Evolución V4-V5'!$C$5:$C$33,D11)</f>
        <v>11</v>
      </c>
    </row>
    <row r="12" customFormat="false" ht="15" hidden="false" customHeight="false" outlineLevel="0" collapsed="false">
      <c r="A12" s="4" t="s">
        <v>17</v>
      </c>
      <c r="B12" s="11" t="n">
        <f aca="false">COUNTIF('Defectos V5'!$B$5:$B$26,"Medio")</f>
        <v>15</v>
      </c>
      <c r="D12" s="12" t="s">
        <v>18</v>
      </c>
      <c r="E12" s="13" t="n">
        <f aca="false">COUNTIF('Evolución V4-V5'!$C$5:$C$33,D12)</f>
        <v>6</v>
      </c>
    </row>
    <row r="13" customFormat="false" ht="15" hidden="false" customHeight="false" outlineLevel="0" collapsed="false">
      <c r="A13" s="4" t="s">
        <v>19</v>
      </c>
      <c r="B13" s="11" t="n">
        <f aca="false">SUM(B10:B12)</f>
        <v>22</v>
      </c>
      <c r="D13" s="12" t="s">
        <v>19</v>
      </c>
      <c r="E13" s="13" t="n">
        <f aca="false">SUM(E10:E12)</f>
        <v>29</v>
      </c>
    </row>
    <row r="14" customFormat="false" ht="15" hidden="false" customHeight="false" outlineLevel="0" collapsed="false">
      <c r="A14" s="4" t="s">
        <v>20</v>
      </c>
      <c r="B14" s="11" t="n">
        <f aca="false">COUNTIF('Defectos V5'!$C$5:$C$26,"Nuevo*")</f>
        <v>6</v>
      </c>
      <c r="D14" s="12" t="s">
        <v>21</v>
      </c>
      <c r="E14" s="14" t="n">
        <f aca="false">IF(E13=0,0,E10/E13)</f>
        <v>0.413793103448276</v>
      </c>
    </row>
    <row r="15" customFormat="false" ht="15" hidden="false" customHeight="false" outlineLevel="0" collapsed="false">
      <c r="A15" s="4" t="s">
        <v>22</v>
      </c>
      <c r="B15" s="11" t="n">
        <f aca="false">COUNTIF('Defectos V5'!$H$5:$H$26,"Resuelto")+COUNTIF('Defectos V5'!$H$5:$H$26,"Descartado")</f>
        <v>0</v>
      </c>
      <c r="D15" s="12" t="s">
        <v>23</v>
      </c>
      <c r="E15" s="15" t="n">
        <f aca="false">MAX(0,65-Scoring!F15)</f>
        <v>1.75</v>
      </c>
    </row>
    <row r="16" customFormat="false" ht="15" hidden="false" customHeight="false" outlineLevel="0" collapsed="false">
      <c r="A16" s="4" t="s">
        <v>24</v>
      </c>
      <c r="B16" s="16" t="n">
        <f aca="false">IF(B13=0,0,B15/B13)</f>
        <v>0</v>
      </c>
    </row>
    <row r="18" customFormat="false" ht="15" hidden="false" customHeight="false" outlineLevel="0" collapsed="false">
      <c r="A18" s="17" t="s">
        <v>25</v>
      </c>
    </row>
    <row r="19" customFormat="false" ht="15" hidden="false" customHeight="true" outlineLevel="0" collapsed="false">
      <c r="A19" s="18" t="s">
        <v>26</v>
      </c>
      <c r="B19" s="18"/>
      <c r="C19" s="18"/>
      <c r="D19" s="18"/>
      <c r="E19" s="18"/>
    </row>
    <row r="20" customFormat="false" ht="15" hidden="false" customHeight="false" outlineLevel="0" collapsed="false">
      <c r="A20" s="18"/>
      <c r="B20" s="18"/>
      <c r="C20" s="18"/>
      <c r="D20" s="18"/>
      <c r="E20" s="18"/>
    </row>
    <row r="21" customFormat="false" ht="15" hidden="false" customHeight="false" outlineLevel="0" collapsed="false">
      <c r="A21" s="18"/>
      <c r="B21" s="18"/>
      <c r="C21" s="18"/>
      <c r="D21" s="18"/>
      <c r="E21" s="18"/>
    </row>
    <row r="22" customFormat="false" ht="15" hidden="false" customHeight="false" outlineLevel="0" collapsed="false">
      <c r="A22" s="18"/>
      <c r="B22" s="18"/>
      <c r="C22" s="18"/>
      <c r="D22" s="18"/>
      <c r="E22" s="18"/>
    </row>
    <row r="24" customFormat="false" ht="15" hidden="false" customHeight="false" outlineLevel="0" collapsed="false">
      <c r="A24" s="17" t="s">
        <v>27</v>
      </c>
    </row>
    <row r="25" customFormat="false" ht="15" hidden="false" customHeight="false" outlineLevel="0" collapsed="false">
      <c r="A25" s="19" t="s">
        <v>28</v>
      </c>
    </row>
    <row r="26" customFormat="false" ht="15" hidden="false" customHeight="false" outlineLevel="0" collapsed="false">
      <c r="A26" s="19" t="s">
        <v>29</v>
      </c>
    </row>
    <row r="27" customFormat="false" ht="15" hidden="false" customHeight="false" outlineLevel="0" collapsed="false">
      <c r="A27" s="19" t="s">
        <v>30</v>
      </c>
    </row>
    <row r="28" customFormat="false" ht="15" hidden="false" customHeight="false" outlineLevel="0" collapsed="false">
      <c r="A28" s="19" t="s">
        <v>31</v>
      </c>
    </row>
    <row r="29" customFormat="false" ht="15" hidden="false" customHeight="false" outlineLevel="0" collapsed="false">
      <c r="A29" s="19" t="s">
        <v>32</v>
      </c>
    </row>
    <row r="30" customFormat="false" ht="15" hidden="false" customHeight="false" outlineLevel="0" collapsed="false">
      <c r="A30" s="19" t="s">
        <v>33</v>
      </c>
    </row>
    <row r="32" customFormat="false" ht="15" hidden="false" customHeight="false" outlineLevel="0" collapsed="false">
      <c r="A32" s="2" t="s">
        <v>34</v>
      </c>
    </row>
  </sheetData>
  <mergeCells count="1">
    <mergeCell ref="A19: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6" min="3" style="0" width="8"/>
    <col collapsed="false" customWidth="true" hidden="false" outlineLevel="0" max="7" min="7" style="0" width="12"/>
    <col collapsed="false" customWidth="true" hidden="false" outlineLevel="0" max="8" min="8" style="0" width="13"/>
    <col collapsed="false" customWidth="true" hidden="false" outlineLevel="0" max="9" min="9" style="0" width="78"/>
  </cols>
  <sheetData>
    <row r="1" customFormat="false" ht="17.35" hidden="false" customHeight="false" outlineLevel="0" collapsed="false">
      <c r="A1" s="1" t="s">
        <v>35</v>
      </c>
    </row>
    <row r="2" customFormat="false" ht="15" hidden="false" customHeight="false" outlineLevel="0" collapsed="false">
      <c r="A2" s="2" t="s">
        <v>36</v>
      </c>
    </row>
    <row r="4" customFormat="false" ht="15" hidden="false" customHeight="false" outlineLevel="0" collapsed="false">
      <c r="A4" s="3" t="s">
        <v>37</v>
      </c>
      <c r="B4" s="3" t="s">
        <v>38</v>
      </c>
      <c r="C4" s="3" t="s">
        <v>3</v>
      </c>
      <c r="D4" s="3" t="s">
        <v>4</v>
      </c>
      <c r="E4" s="3" t="s">
        <v>5</v>
      </c>
      <c r="F4" s="3" t="s">
        <v>6</v>
      </c>
      <c r="G4" s="3" t="s">
        <v>39</v>
      </c>
      <c r="H4" s="3" t="s">
        <v>40</v>
      </c>
      <c r="I4" s="3" t="s">
        <v>41</v>
      </c>
    </row>
    <row r="5" customFormat="false" ht="15" hidden="false" customHeight="false" outlineLevel="0" collapsed="false">
      <c r="A5" s="4" t="s">
        <v>42</v>
      </c>
      <c r="B5" s="20" t="n">
        <v>0.15</v>
      </c>
      <c r="C5" s="21" t="n">
        <v>6.5</v>
      </c>
      <c r="D5" s="21" t="n">
        <v>7</v>
      </c>
      <c r="E5" s="21" t="n">
        <v>7.5</v>
      </c>
      <c r="F5" s="21" t="n">
        <v>8</v>
      </c>
      <c r="G5" s="22" t="n">
        <f aca="false">F5-E5</f>
        <v>0.5</v>
      </c>
      <c r="H5" s="23" t="n">
        <f aca="false">B5*F5</f>
        <v>1.2</v>
      </c>
      <c r="I5" s="4" t="s">
        <v>43</v>
      </c>
    </row>
    <row r="6" customFormat="false" ht="23.85" hidden="false" customHeight="false" outlineLevel="0" collapsed="false">
      <c r="A6" s="4" t="s">
        <v>44</v>
      </c>
      <c r="B6" s="20" t="n">
        <v>0.2</v>
      </c>
      <c r="C6" s="21" t="n">
        <v>4.5</v>
      </c>
      <c r="D6" s="21" t="n">
        <v>5</v>
      </c>
      <c r="E6" s="21" t="n">
        <v>5.8</v>
      </c>
      <c r="F6" s="21" t="n">
        <v>6.2</v>
      </c>
      <c r="G6" s="22" t="n">
        <f aca="false">F6-E6</f>
        <v>0.4</v>
      </c>
      <c r="H6" s="23" t="n">
        <f aca="false">B6*F6</f>
        <v>1.24</v>
      </c>
      <c r="I6" s="4" t="s">
        <v>45</v>
      </c>
    </row>
    <row r="7" customFormat="false" ht="15" hidden="false" customHeight="false" outlineLevel="0" collapsed="false">
      <c r="A7" s="4" t="s">
        <v>46</v>
      </c>
      <c r="B7" s="20" t="n">
        <v>0.2</v>
      </c>
      <c r="C7" s="21" t="n">
        <v>3.5</v>
      </c>
      <c r="D7" s="21" t="n">
        <v>4.5</v>
      </c>
      <c r="E7" s="21" t="n">
        <v>5.5</v>
      </c>
      <c r="F7" s="21" t="n">
        <v>5.8</v>
      </c>
      <c r="G7" s="22" t="n">
        <f aca="false">F7-E7</f>
        <v>0.3</v>
      </c>
      <c r="H7" s="23" t="n">
        <f aca="false">B7*F7</f>
        <v>1.16</v>
      </c>
      <c r="I7" s="4" t="s">
        <v>47</v>
      </c>
    </row>
    <row r="8" customFormat="false" ht="15" hidden="false" customHeight="false" outlineLevel="0" collapsed="false">
      <c r="A8" s="4" t="s">
        <v>48</v>
      </c>
      <c r="B8" s="20" t="n">
        <v>0.1</v>
      </c>
      <c r="C8" s="21" t="n">
        <v>3</v>
      </c>
      <c r="D8" s="21" t="n">
        <v>4</v>
      </c>
      <c r="E8" s="21" t="n">
        <v>5</v>
      </c>
      <c r="F8" s="21" t="n">
        <v>6.5</v>
      </c>
      <c r="G8" s="22" t="n">
        <f aca="false">F8-E8</f>
        <v>1.5</v>
      </c>
      <c r="H8" s="23" t="n">
        <f aca="false">B8*F8</f>
        <v>0.65</v>
      </c>
      <c r="I8" s="4" t="s">
        <v>49</v>
      </c>
    </row>
    <row r="9" customFormat="false" ht="15" hidden="false" customHeight="false" outlineLevel="0" collapsed="false">
      <c r="A9" s="4" t="s">
        <v>50</v>
      </c>
      <c r="B9" s="20" t="n">
        <v>0.1</v>
      </c>
      <c r="C9" s="21" t="n">
        <v>4.5</v>
      </c>
      <c r="D9" s="21" t="n">
        <v>5</v>
      </c>
      <c r="E9" s="21" t="n">
        <v>5.5</v>
      </c>
      <c r="F9" s="21" t="n">
        <v>5.5</v>
      </c>
      <c r="G9" s="22" t="n">
        <f aca="false">F9-E9</f>
        <v>0</v>
      </c>
      <c r="H9" s="23" t="n">
        <f aca="false">B9*F9</f>
        <v>0.55</v>
      </c>
      <c r="I9" s="4" t="s">
        <v>51</v>
      </c>
    </row>
    <row r="10" customFormat="false" ht="15" hidden="false" customHeight="false" outlineLevel="0" collapsed="false">
      <c r="A10" s="4" t="s">
        <v>52</v>
      </c>
      <c r="B10" s="20" t="n">
        <v>0.05</v>
      </c>
      <c r="C10" s="21" t="n">
        <v>3</v>
      </c>
      <c r="D10" s="21" t="n">
        <v>3</v>
      </c>
      <c r="E10" s="21" t="n">
        <v>3</v>
      </c>
      <c r="F10" s="21" t="n">
        <v>5</v>
      </c>
      <c r="G10" s="22" t="n">
        <f aca="false">F10-E10</f>
        <v>2</v>
      </c>
      <c r="H10" s="23" t="n">
        <f aca="false">B10*F10</f>
        <v>0.25</v>
      </c>
      <c r="I10" s="4" t="s">
        <v>53</v>
      </c>
    </row>
    <row r="11" customFormat="false" ht="15" hidden="false" customHeight="false" outlineLevel="0" collapsed="false">
      <c r="A11" s="4" t="s">
        <v>54</v>
      </c>
      <c r="B11" s="20" t="n">
        <v>0.1</v>
      </c>
      <c r="C11" s="21" t="n">
        <v>7.5</v>
      </c>
      <c r="D11" s="21" t="n">
        <v>7</v>
      </c>
      <c r="E11" s="21" t="n">
        <v>6.5</v>
      </c>
      <c r="F11" s="21" t="n">
        <v>7.5</v>
      </c>
      <c r="G11" s="22" t="n">
        <f aca="false">F11-E11</f>
        <v>1</v>
      </c>
      <c r="H11" s="23" t="n">
        <f aca="false">B11*F11</f>
        <v>0.75</v>
      </c>
      <c r="I11" s="4" t="s">
        <v>55</v>
      </c>
    </row>
    <row r="12" customFormat="false" ht="15" hidden="false" customHeight="false" outlineLevel="0" collapsed="false">
      <c r="A12" s="4" t="s">
        <v>56</v>
      </c>
      <c r="B12" s="20" t="n">
        <v>0.05</v>
      </c>
      <c r="C12" s="21" t="n">
        <v>4</v>
      </c>
      <c r="D12" s="21" t="n">
        <v>4</v>
      </c>
      <c r="E12" s="21" t="n">
        <v>4</v>
      </c>
      <c r="F12" s="21" t="n">
        <v>4.5</v>
      </c>
      <c r="G12" s="22" t="n">
        <f aca="false">F12-E12</f>
        <v>0.5</v>
      </c>
      <c r="H12" s="23" t="n">
        <f aca="false">B12*F12</f>
        <v>0.225</v>
      </c>
      <c r="I12" s="4" t="s">
        <v>57</v>
      </c>
    </row>
    <row r="13" customFormat="false" ht="15" hidden="false" customHeight="false" outlineLevel="0" collapsed="false">
      <c r="A13" s="4" t="s">
        <v>58</v>
      </c>
      <c r="B13" s="20" t="n">
        <v>0.05</v>
      </c>
      <c r="C13" s="21" t="n">
        <v>5.5</v>
      </c>
      <c r="D13" s="21" t="n">
        <v>5</v>
      </c>
      <c r="E13" s="21" t="n">
        <v>5.5</v>
      </c>
      <c r="F13" s="21" t="n">
        <v>6</v>
      </c>
      <c r="G13" s="22" t="n">
        <f aca="false">F13-E13</f>
        <v>0.5</v>
      </c>
      <c r="H13" s="23" t="n">
        <f aca="false">B13*F13</f>
        <v>0.3</v>
      </c>
      <c r="I13" s="4" t="s">
        <v>59</v>
      </c>
    </row>
    <row r="14" customFormat="false" ht="15" hidden="false" customHeight="false" outlineLevel="0" collapsed="false">
      <c r="A14" s="24" t="s">
        <v>60</v>
      </c>
      <c r="B14" s="25" t="n">
        <f aca="false">SUM(B5:B13)</f>
        <v>1</v>
      </c>
      <c r="C14" s="26" t="n">
        <f aca="false">IF($B14=0,0,SUMPRODUCT($B5:$B13,C5:C13)/$B14)</f>
        <v>4.7</v>
      </c>
      <c r="D14" s="26" t="n">
        <f aca="false">IF($B14=0,0,SUMPRODUCT($B5:$B13,D5:D13)/$B14)</f>
        <v>5.15</v>
      </c>
      <c r="E14" s="26" t="n">
        <f aca="false">IF($B14=0,0,SUMPRODUCT($B5:$B13,E5:E13)/$B14)</f>
        <v>5.71</v>
      </c>
      <c r="F14" s="26" t="n">
        <f aca="false">IF($B14=0,0,SUMPRODUCT($B5:$B13,F5:F13)/$B14)</f>
        <v>6.325</v>
      </c>
      <c r="G14" s="27" t="n">
        <f aca="false">F14-E14</f>
        <v>0.615</v>
      </c>
      <c r="H14" s="26" t="n">
        <f aca="false">SUM(H5:H13)</f>
        <v>6.325</v>
      </c>
      <c r="I14" s="24" t="str">
        <f aca="false">IF(ROUND(B14,4)=1,"Pesos OK (suman 100%)","REVISAR: los pesos no suman 100%")</f>
        <v>Pesos OK (suman 100%)</v>
      </c>
    </row>
    <row r="15" customFormat="false" ht="15" hidden="false" customHeight="false" outlineLevel="0" collapsed="false">
      <c r="A15" s="28" t="s">
        <v>8</v>
      </c>
      <c r="B15" s="29"/>
      <c r="C15" s="30" t="n">
        <f aca="false">C14*10</f>
        <v>47</v>
      </c>
      <c r="D15" s="30" t="n">
        <f aca="false">D14*10</f>
        <v>51.5</v>
      </c>
      <c r="E15" s="30" t="n">
        <f aca="false">E14*10</f>
        <v>57.1</v>
      </c>
      <c r="F15" s="30" t="n">
        <f aca="false">F14*10</f>
        <v>63.25</v>
      </c>
      <c r="G15" s="29"/>
      <c r="H15" s="29"/>
      <c r="I15" s="29"/>
    </row>
    <row r="16" customFormat="false" ht="46.25" hidden="false" customHeight="false" outlineLevel="0" collapsed="false">
      <c r="A16" s="28" t="s">
        <v>9</v>
      </c>
      <c r="B16" s="29"/>
      <c r="C16" s="29" t="str">
        <f aca="false">IF(C15&gt;=80,"Producción",IF(C15&gt;=65,"Beta avanzada",IF(C15&gt;=40,"Prototipo funcional","Experimental")))</f>
        <v>Prototipo funcional</v>
      </c>
      <c r="D16" s="29" t="str">
        <f aca="false">IF(D15&gt;=80,"Producción",IF(D15&gt;=65,"Beta avanzada",IF(D15&gt;=40,"Prototipo funcional","Experimental")))</f>
        <v>Prototipo funcional</v>
      </c>
      <c r="E16" s="29" t="str">
        <f aca="false">IF(E15&gt;=80,"Producción",IF(E15&gt;=65,"Beta avanzada",IF(E15&gt;=40,"Prototipo funcional","Experimental")))</f>
        <v>Prototipo funcional</v>
      </c>
      <c r="F16" s="29" t="str">
        <f aca="false">IF(F15&gt;=80,"Producción",IF(F15&gt;=65,"Beta avanzada",IF(F15&gt;=40,"Prototipo funcional","Experimental")))</f>
        <v>Prototipo funcional</v>
      </c>
      <c r="G16" s="29"/>
      <c r="H16" s="29"/>
      <c r="I16" s="29"/>
    </row>
    <row r="17" customFormat="false" ht="15" hidden="false" customHeight="false" outlineLevel="0" collapsed="false">
      <c r="A17" s="2" t="s">
        <v>61</v>
      </c>
    </row>
    <row r="18" customFormat="false" ht="15" hidden="false" customHeight="false" outlineLevel="0" collapsed="false">
      <c r="A18" s="31" t="s">
        <v>62</v>
      </c>
      <c r="F18" s="32" t="n">
        <f aca="false">MAX(0,65-F15)</f>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22"/>
    <col collapsed="false" customWidth="true" hidden="false" outlineLevel="0" max="4" min="4" style="0" width="24"/>
    <col collapsed="false" customWidth="true" hidden="false" outlineLevel="0" max="5" min="5" style="0" width="70"/>
    <col collapsed="false" customWidth="true" hidden="false" outlineLevel="0" max="6" min="6" style="0" width="46"/>
    <col collapsed="false" customWidth="true" hidden="false" outlineLevel="0" max="8" min="7" style="0" width="12"/>
    <col collapsed="false" customWidth="true" hidden="false" outlineLevel="0" max="9" min="9" style="0" width="16"/>
  </cols>
  <sheetData>
    <row r="1" customFormat="false" ht="17.35" hidden="false" customHeight="false" outlineLevel="0" collapsed="false">
      <c r="A1" s="1" t="s">
        <v>63</v>
      </c>
    </row>
    <row r="2" customFormat="false" ht="15" hidden="false" customHeight="false" outlineLevel="0" collapsed="false">
      <c r="A2" s="2" t="s">
        <v>64</v>
      </c>
    </row>
    <row r="4" customFormat="false" ht="23.85" hidden="false" customHeight="false" outlineLevel="0" collapsed="false">
      <c r="A4" s="3" t="s">
        <v>65</v>
      </c>
      <c r="B4" s="3" t="s">
        <v>66</v>
      </c>
      <c r="C4" s="3" t="s">
        <v>67</v>
      </c>
      <c r="D4" s="3" t="s">
        <v>68</v>
      </c>
      <c r="E4" s="3" t="s">
        <v>69</v>
      </c>
      <c r="F4" s="3" t="s">
        <v>70</v>
      </c>
      <c r="G4" s="3" t="s">
        <v>71</v>
      </c>
      <c r="H4" s="3" t="s">
        <v>72</v>
      </c>
      <c r="I4" s="3" t="s">
        <v>73</v>
      </c>
    </row>
    <row r="5" customFormat="false" ht="68.65" hidden="false" customHeight="false" outlineLevel="0" collapsed="false">
      <c r="A5" s="11" t="s">
        <v>74</v>
      </c>
      <c r="B5" s="33" t="s">
        <v>75</v>
      </c>
      <c r="C5" s="4" t="s">
        <v>76</v>
      </c>
      <c r="D5" s="4" t="s">
        <v>77</v>
      </c>
      <c r="E5" s="4" t="s">
        <v>78</v>
      </c>
      <c r="F5" s="4" t="s">
        <v>79</v>
      </c>
      <c r="G5" s="11" t="n">
        <v>1</v>
      </c>
      <c r="H5" s="33" t="s">
        <v>80</v>
      </c>
      <c r="I5" s="4"/>
    </row>
    <row r="6" customFormat="false" ht="46.25" hidden="false" customHeight="false" outlineLevel="0" collapsed="false">
      <c r="A6" s="11" t="s">
        <v>81</v>
      </c>
      <c r="B6" s="33" t="s">
        <v>75</v>
      </c>
      <c r="C6" s="4" t="s">
        <v>82</v>
      </c>
      <c r="D6" s="4" t="s">
        <v>83</v>
      </c>
      <c r="E6" s="4" t="s">
        <v>84</v>
      </c>
      <c r="F6" s="4" t="s">
        <v>85</v>
      </c>
      <c r="G6" s="11" t="n">
        <v>2</v>
      </c>
      <c r="H6" s="33" t="s">
        <v>80</v>
      </c>
      <c r="I6" s="4"/>
    </row>
    <row r="7" customFormat="false" ht="46.25" hidden="false" customHeight="false" outlineLevel="0" collapsed="false">
      <c r="A7" s="11" t="s">
        <v>86</v>
      </c>
      <c r="B7" s="33" t="s">
        <v>87</v>
      </c>
      <c r="C7" s="4" t="s">
        <v>88</v>
      </c>
      <c r="D7" s="4" t="s">
        <v>89</v>
      </c>
      <c r="E7" s="4" t="s">
        <v>90</v>
      </c>
      <c r="F7" s="4" t="s">
        <v>91</v>
      </c>
      <c r="G7" s="11" t="n">
        <v>4</v>
      </c>
      <c r="H7" s="33" t="s">
        <v>80</v>
      </c>
      <c r="I7" s="4"/>
    </row>
    <row r="8" customFormat="false" ht="35.05" hidden="false" customHeight="false" outlineLevel="0" collapsed="false">
      <c r="A8" s="11" t="s">
        <v>92</v>
      </c>
      <c r="B8" s="33" t="s">
        <v>87</v>
      </c>
      <c r="C8" s="4" t="s">
        <v>88</v>
      </c>
      <c r="D8" s="4" t="s">
        <v>93</v>
      </c>
      <c r="E8" s="4" t="s">
        <v>94</v>
      </c>
      <c r="F8" s="4" t="s">
        <v>95</v>
      </c>
      <c r="G8" s="11" t="n">
        <v>4</v>
      </c>
      <c r="H8" s="33" t="s">
        <v>80</v>
      </c>
      <c r="I8" s="4"/>
    </row>
    <row r="9" customFormat="false" ht="46.25" hidden="false" customHeight="false" outlineLevel="0" collapsed="false">
      <c r="A9" s="11" t="s">
        <v>96</v>
      </c>
      <c r="B9" s="33" t="s">
        <v>87</v>
      </c>
      <c r="C9" s="4" t="s">
        <v>76</v>
      </c>
      <c r="D9" s="4" t="s">
        <v>97</v>
      </c>
      <c r="E9" s="4" t="s">
        <v>98</v>
      </c>
      <c r="F9" s="4" t="s">
        <v>99</v>
      </c>
      <c r="G9" s="11" t="n">
        <v>3</v>
      </c>
      <c r="H9" s="33" t="s">
        <v>80</v>
      </c>
      <c r="I9" s="4"/>
    </row>
    <row r="10" customFormat="false" ht="46.25" hidden="false" customHeight="false" outlineLevel="0" collapsed="false">
      <c r="A10" s="11" t="s">
        <v>100</v>
      </c>
      <c r="B10" s="33" t="s">
        <v>87</v>
      </c>
      <c r="C10" s="4" t="s">
        <v>82</v>
      </c>
      <c r="D10" s="4" t="s">
        <v>101</v>
      </c>
      <c r="E10" s="4" t="s">
        <v>102</v>
      </c>
      <c r="F10" s="4" t="s">
        <v>103</v>
      </c>
      <c r="G10" s="11" t="n">
        <v>3</v>
      </c>
      <c r="H10" s="33" t="s">
        <v>80</v>
      </c>
      <c r="I10" s="4"/>
    </row>
    <row r="11" customFormat="false" ht="35.05" hidden="false" customHeight="false" outlineLevel="0" collapsed="false">
      <c r="A11" s="11" t="s">
        <v>104</v>
      </c>
      <c r="B11" s="33" t="s">
        <v>87</v>
      </c>
      <c r="C11" s="4" t="s">
        <v>105</v>
      </c>
      <c r="D11" s="4" t="s">
        <v>106</v>
      </c>
      <c r="E11" s="4" t="s">
        <v>107</v>
      </c>
      <c r="F11" s="4" t="s">
        <v>108</v>
      </c>
      <c r="G11" s="11" t="n">
        <v>7</v>
      </c>
      <c r="H11" s="33" t="s">
        <v>80</v>
      </c>
      <c r="I11" s="4"/>
    </row>
    <row r="12" customFormat="false" ht="23.85" hidden="false" customHeight="false" outlineLevel="0" collapsed="false">
      <c r="A12" s="11" t="s">
        <v>109</v>
      </c>
      <c r="B12" s="33" t="s">
        <v>110</v>
      </c>
      <c r="C12" s="4" t="s">
        <v>105</v>
      </c>
      <c r="D12" s="4" t="s">
        <v>111</v>
      </c>
      <c r="E12" s="4" t="s">
        <v>112</v>
      </c>
      <c r="F12" s="4" t="s">
        <v>113</v>
      </c>
      <c r="G12" s="11" t="n">
        <v>2</v>
      </c>
      <c r="H12" s="33" t="s">
        <v>80</v>
      </c>
      <c r="I12" s="4"/>
    </row>
    <row r="13" customFormat="false" ht="35.05" hidden="false" customHeight="false" outlineLevel="0" collapsed="false">
      <c r="A13" s="11" t="s">
        <v>114</v>
      </c>
      <c r="B13" s="33" t="s">
        <v>110</v>
      </c>
      <c r="C13" s="4" t="s">
        <v>88</v>
      </c>
      <c r="D13" s="4" t="s">
        <v>115</v>
      </c>
      <c r="E13" s="4" t="s">
        <v>116</v>
      </c>
      <c r="F13" s="4" t="s">
        <v>117</v>
      </c>
      <c r="G13" s="11" t="s">
        <v>118</v>
      </c>
      <c r="H13" s="33" t="s">
        <v>80</v>
      </c>
      <c r="I13" s="4"/>
    </row>
    <row r="14" customFormat="false" ht="35.05" hidden="false" customHeight="false" outlineLevel="0" collapsed="false">
      <c r="A14" s="11" t="s">
        <v>119</v>
      </c>
      <c r="B14" s="33" t="s">
        <v>110</v>
      </c>
      <c r="C14" s="4" t="s">
        <v>88</v>
      </c>
      <c r="D14" s="4" t="s">
        <v>120</v>
      </c>
      <c r="E14" s="4" t="s">
        <v>121</v>
      </c>
      <c r="F14" s="4" t="s">
        <v>122</v>
      </c>
      <c r="G14" s="11" t="n">
        <v>5</v>
      </c>
      <c r="H14" s="33" t="s">
        <v>80</v>
      </c>
      <c r="I14" s="4"/>
    </row>
    <row r="15" customFormat="false" ht="23.85" hidden="false" customHeight="false" outlineLevel="0" collapsed="false">
      <c r="A15" s="11" t="s">
        <v>123</v>
      </c>
      <c r="B15" s="33" t="s">
        <v>110</v>
      </c>
      <c r="C15" s="4" t="s">
        <v>88</v>
      </c>
      <c r="D15" s="4" t="s">
        <v>124</v>
      </c>
      <c r="E15" s="4" t="s">
        <v>125</v>
      </c>
      <c r="F15" s="4" t="s">
        <v>126</v>
      </c>
      <c r="G15" s="11" t="s">
        <v>118</v>
      </c>
      <c r="H15" s="33" t="s">
        <v>80</v>
      </c>
      <c r="I15" s="4"/>
    </row>
    <row r="16" customFormat="false" ht="57.45" hidden="false" customHeight="false" outlineLevel="0" collapsed="false">
      <c r="A16" s="11" t="s">
        <v>127</v>
      </c>
      <c r="B16" s="33" t="s">
        <v>110</v>
      </c>
      <c r="C16" s="4" t="s">
        <v>105</v>
      </c>
      <c r="D16" s="4" t="s">
        <v>44</v>
      </c>
      <c r="E16" s="4" t="s">
        <v>128</v>
      </c>
      <c r="F16" s="4" t="s">
        <v>129</v>
      </c>
      <c r="G16" s="11" t="n">
        <v>6</v>
      </c>
      <c r="H16" s="33" t="s">
        <v>80</v>
      </c>
      <c r="I16" s="4"/>
    </row>
    <row r="17" customFormat="false" ht="23.85" hidden="false" customHeight="false" outlineLevel="0" collapsed="false">
      <c r="A17" s="11" t="s">
        <v>130</v>
      </c>
      <c r="B17" s="33" t="s">
        <v>110</v>
      </c>
      <c r="C17" s="4" t="s">
        <v>105</v>
      </c>
      <c r="D17" s="4" t="s">
        <v>131</v>
      </c>
      <c r="E17" s="4" t="s">
        <v>132</v>
      </c>
      <c r="F17" s="4" t="s">
        <v>133</v>
      </c>
      <c r="G17" s="11" t="n">
        <v>6</v>
      </c>
      <c r="H17" s="33" t="s">
        <v>80</v>
      </c>
      <c r="I17" s="4"/>
    </row>
    <row r="18" customFormat="false" ht="15" hidden="false" customHeight="false" outlineLevel="0" collapsed="false">
      <c r="A18" s="11" t="s">
        <v>134</v>
      </c>
      <c r="B18" s="33" t="s">
        <v>110</v>
      </c>
      <c r="C18" s="4" t="s">
        <v>105</v>
      </c>
      <c r="D18" s="4" t="s">
        <v>135</v>
      </c>
      <c r="E18" s="4" t="s">
        <v>136</v>
      </c>
      <c r="F18" s="4" t="s">
        <v>137</v>
      </c>
      <c r="G18" s="11" t="n">
        <v>5</v>
      </c>
      <c r="H18" s="33" t="s">
        <v>80</v>
      </c>
      <c r="I18" s="4"/>
    </row>
    <row r="19" customFormat="false" ht="15" hidden="false" customHeight="false" outlineLevel="0" collapsed="false">
      <c r="A19" s="11" t="s">
        <v>138</v>
      </c>
      <c r="B19" s="33" t="s">
        <v>110</v>
      </c>
      <c r="C19" s="4" t="s">
        <v>105</v>
      </c>
      <c r="D19" s="4" t="s">
        <v>139</v>
      </c>
      <c r="E19" s="4" t="s">
        <v>140</v>
      </c>
      <c r="F19" s="4" t="s">
        <v>141</v>
      </c>
      <c r="G19" s="11" t="n">
        <v>5</v>
      </c>
      <c r="H19" s="33" t="s">
        <v>80</v>
      </c>
      <c r="I19" s="4"/>
    </row>
    <row r="20" customFormat="false" ht="35.05" hidden="false" customHeight="false" outlineLevel="0" collapsed="false">
      <c r="A20" s="11" t="s">
        <v>142</v>
      </c>
      <c r="B20" s="33" t="s">
        <v>110</v>
      </c>
      <c r="C20" s="4" t="s">
        <v>82</v>
      </c>
      <c r="D20" s="4" t="s">
        <v>143</v>
      </c>
      <c r="E20" s="4" t="s">
        <v>144</v>
      </c>
      <c r="F20" s="4" t="s">
        <v>145</v>
      </c>
      <c r="G20" s="11" t="n">
        <v>7</v>
      </c>
      <c r="H20" s="33" t="s">
        <v>80</v>
      </c>
      <c r="I20" s="4"/>
    </row>
    <row r="21" customFormat="false" ht="23.85" hidden="false" customHeight="false" outlineLevel="0" collapsed="false">
      <c r="A21" s="11" t="s">
        <v>146</v>
      </c>
      <c r="B21" s="33" t="s">
        <v>110</v>
      </c>
      <c r="C21" s="4" t="s">
        <v>82</v>
      </c>
      <c r="D21" s="4" t="s">
        <v>147</v>
      </c>
      <c r="E21" s="4" t="s">
        <v>148</v>
      </c>
      <c r="F21" s="4" t="s">
        <v>149</v>
      </c>
      <c r="G21" s="11" t="s">
        <v>118</v>
      </c>
      <c r="H21" s="33" t="s">
        <v>80</v>
      </c>
      <c r="I21" s="4"/>
    </row>
    <row r="22" customFormat="false" ht="23.85" hidden="false" customHeight="false" outlineLevel="0" collapsed="false">
      <c r="A22" s="11" t="s">
        <v>150</v>
      </c>
      <c r="B22" s="33" t="s">
        <v>110</v>
      </c>
      <c r="C22" s="4" t="s">
        <v>105</v>
      </c>
      <c r="D22" s="4" t="s">
        <v>151</v>
      </c>
      <c r="E22" s="4" t="s">
        <v>152</v>
      </c>
      <c r="F22" s="4" t="s">
        <v>153</v>
      </c>
      <c r="G22" s="11" t="s">
        <v>118</v>
      </c>
      <c r="H22" s="33" t="s">
        <v>80</v>
      </c>
      <c r="I22" s="4"/>
    </row>
    <row r="23" customFormat="false" ht="23.85" hidden="false" customHeight="false" outlineLevel="0" collapsed="false">
      <c r="A23" s="11" t="s">
        <v>154</v>
      </c>
      <c r="B23" s="33" t="s">
        <v>110</v>
      </c>
      <c r="C23" s="4" t="s">
        <v>88</v>
      </c>
      <c r="D23" s="4" t="s">
        <v>155</v>
      </c>
      <c r="E23" s="4" t="s">
        <v>156</v>
      </c>
      <c r="F23" s="4" t="s">
        <v>157</v>
      </c>
      <c r="G23" s="11" t="s">
        <v>118</v>
      </c>
      <c r="H23" s="33" t="s">
        <v>80</v>
      </c>
      <c r="I23" s="4"/>
    </row>
    <row r="24" customFormat="false" ht="23.85" hidden="false" customHeight="false" outlineLevel="0" collapsed="false">
      <c r="A24" s="11" t="s">
        <v>158</v>
      </c>
      <c r="B24" s="33" t="s">
        <v>110</v>
      </c>
      <c r="C24" s="4" t="s">
        <v>105</v>
      </c>
      <c r="D24" s="4" t="s">
        <v>159</v>
      </c>
      <c r="E24" s="4" t="s">
        <v>160</v>
      </c>
      <c r="F24" s="4" t="s">
        <v>161</v>
      </c>
      <c r="G24" s="11" t="s">
        <v>118</v>
      </c>
      <c r="H24" s="33" t="s">
        <v>80</v>
      </c>
      <c r="I24" s="4"/>
    </row>
    <row r="25" customFormat="false" ht="23.85" hidden="false" customHeight="false" outlineLevel="0" collapsed="false">
      <c r="A25" s="11" t="s">
        <v>162</v>
      </c>
      <c r="B25" s="33" t="s">
        <v>110</v>
      </c>
      <c r="C25" s="4" t="s">
        <v>105</v>
      </c>
      <c r="D25" s="4" t="s">
        <v>163</v>
      </c>
      <c r="E25" s="4" t="s">
        <v>164</v>
      </c>
      <c r="F25" s="4" t="s">
        <v>165</v>
      </c>
      <c r="G25" s="11" t="s">
        <v>118</v>
      </c>
      <c r="H25" s="33" t="s">
        <v>80</v>
      </c>
      <c r="I25" s="4"/>
    </row>
    <row r="26" customFormat="false" ht="15" hidden="false" customHeight="false" outlineLevel="0" collapsed="false">
      <c r="A26" s="11" t="s">
        <v>166</v>
      </c>
      <c r="B26" s="33" t="s">
        <v>110</v>
      </c>
      <c r="C26" s="4" t="s">
        <v>105</v>
      </c>
      <c r="D26" s="4" t="s">
        <v>56</v>
      </c>
      <c r="E26" s="4" t="s">
        <v>167</v>
      </c>
      <c r="F26" s="4" t="s">
        <v>168</v>
      </c>
      <c r="G26" s="11" t="n">
        <v>7</v>
      </c>
      <c r="H26" s="33" t="s">
        <v>80</v>
      </c>
      <c r="I26" s="4"/>
    </row>
  </sheetData>
  <autoFilter ref="A4:I26"/>
  <conditionalFormatting sqref="B5:B26">
    <cfRule type="cellIs" priority="2" operator="equal" aboveAverage="0" equalAverage="0" bottom="0" percent="0" rank="0" text="" dxfId="9">
      <formula>"Crítico"</formula>
    </cfRule>
    <cfRule type="cellIs" priority="3" operator="equal" aboveAverage="0" equalAverage="0" bottom="0" percent="0" rank="0" text="" dxfId="10">
      <formula>"Alto"</formula>
    </cfRule>
    <cfRule type="cellIs" priority="4" operator="equal" aboveAverage="0" equalAverage="0" bottom="0" percent="0" rank="0" text="" dxfId="11">
      <formula>"Medio"</formula>
    </cfRule>
  </conditionalFormatting>
  <dataValidations count="1">
    <dataValidation allowBlank="true" errorStyle="stop" operator="between" showDropDown="false" showErrorMessage="false" showInputMessage="false" sqref="H5:H26" type="list">
      <formula1>"Pendiente,En curso,Resuelto,Descartado"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4"/>
    <col collapsed="false" customWidth="true" hidden="false" outlineLevel="0" max="4" min="4" style="0" width="66"/>
    <col collapsed="false" customWidth="true" hidden="false" outlineLevel="0" max="5" min="5" style="0" width="18"/>
  </cols>
  <sheetData>
    <row r="1" customFormat="false" ht="17.35" hidden="false" customHeight="false" outlineLevel="0" collapsed="false">
      <c r="A1" s="1" t="s">
        <v>169</v>
      </c>
    </row>
    <row r="2" customFormat="false" ht="15" hidden="false" customHeight="false" outlineLevel="0" collapsed="false">
      <c r="A2" s="2" t="s">
        <v>170</v>
      </c>
    </row>
    <row r="4" customFormat="false" ht="23.85" hidden="false" customHeight="false" outlineLevel="0" collapsed="false">
      <c r="A4" s="3" t="s">
        <v>171</v>
      </c>
      <c r="B4" s="3" t="s">
        <v>172</v>
      </c>
      <c r="C4" s="3" t="s">
        <v>173</v>
      </c>
      <c r="D4" s="3" t="s">
        <v>174</v>
      </c>
      <c r="E4" s="3" t="s">
        <v>175</v>
      </c>
    </row>
    <row r="5" customFormat="false" ht="15" hidden="false" customHeight="false" outlineLevel="0" collapsed="false">
      <c r="A5" s="11" t="s">
        <v>176</v>
      </c>
      <c r="B5" s="4" t="s">
        <v>177</v>
      </c>
      <c r="C5" s="33" t="s">
        <v>16</v>
      </c>
      <c r="D5" s="4" t="s">
        <v>178</v>
      </c>
      <c r="E5" s="11" t="s">
        <v>179</v>
      </c>
    </row>
    <row r="6" customFormat="false" ht="15" hidden="false" customHeight="false" outlineLevel="0" collapsed="false">
      <c r="A6" s="11" t="s">
        <v>104</v>
      </c>
      <c r="B6" s="4" t="s">
        <v>180</v>
      </c>
      <c r="C6" s="33" t="s">
        <v>16</v>
      </c>
      <c r="D6" s="4" t="s">
        <v>181</v>
      </c>
      <c r="E6" s="11" t="s">
        <v>104</v>
      </c>
    </row>
    <row r="7" customFormat="false" ht="15" hidden="false" customHeight="false" outlineLevel="0" collapsed="false">
      <c r="A7" s="11" t="s">
        <v>86</v>
      </c>
      <c r="B7" s="4" t="s">
        <v>182</v>
      </c>
      <c r="C7" s="33" t="s">
        <v>18</v>
      </c>
      <c r="D7" s="4" t="s">
        <v>183</v>
      </c>
      <c r="E7" s="11" t="s">
        <v>86</v>
      </c>
    </row>
    <row r="8" customFormat="false" ht="15" hidden="false" customHeight="false" outlineLevel="0" collapsed="false">
      <c r="A8" s="11" t="s">
        <v>92</v>
      </c>
      <c r="B8" s="4" t="s">
        <v>184</v>
      </c>
      <c r="C8" s="33" t="s">
        <v>18</v>
      </c>
      <c r="D8" s="4" t="s">
        <v>185</v>
      </c>
      <c r="E8" s="11" t="s">
        <v>92</v>
      </c>
    </row>
    <row r="9" customFormat="false" ht="15" hidden="false" customHeight="false" outlineLevel="0" collapsed="false">
      <c r="A9" s="11" t="s">
        <v>186</v>
      </c>
      <c r="B9" s="4" t="s">
        <v>187</v>
      </c>
      <c r="C9" s="33" t="s">
        <v>14</v>
      </c>
      <c r="D9" s="4" t="s">
        <v>188</v>
      </c>
      <c r="E9" s="11" t="s">
        <v>189</v>
      </c>
    </row>
    <row r="10" customFormat="false" ht="15" hidden="false" customHeight="false" outlineLevel="0" collapsed="false">
      <c r="A10" s="11" t="s">
        <v>127</v>
      </c>
      <c r="B10" s="4" t="s">
        <v>190</v>
      </c>
      <c r="C10" s="33" t="s">
        <v>16</v>
      </c>
      <c r="D10" s="4" t="s">
        <v>191</v>
      </c>
      <c r="E10" s="11" t="s">
        <v>127</v>
      </c>
    </row>
    <row r="11" customFormat="false" ht="15" hidden="false" customHeight="false" outlineLevel="0" collapsed="false">
      <c r="A11" s="11" t="s">
        <v>130</v>
      </c>
      <c r="B11" s="4" t="s">
        <v>192</v>
      </c>
      <c r="C11" s="33" t="s">
        <v>16</v>
      </c>
      <c r="D11" s="4" t="s">
        <v>193</v>
      </c>
      <c r="E11" s="11" t="s">
        <v>130</v>
      </c>
    </row>
    <row r="12" customFormat="false" ht="15" hidden="false" customHeight="false" outlineLevel="0" collapsed="false">
      <c r="A12" s="11" t="s">
        <v>194</v>
      </c>
      <c r="B12" s="4" t="s">
        <v>195</v>
      </c>
      <c r="C12" s="33" t="s">
        <v>14</v>
      </c>
      <c r="D12" s="4" t="s">
        <v>196</v>
      </c>
      <c r="E12" s="11" t="s">
        <v>189</v>
      </c>
    </row>
    <row r="13" customFormat="false" ht="15" hidden="false" customHeight="false" outlineLevel="0" collapsed="false">
      <c r="A13" s="11" t="s">
        <v>197</v>
      </c>
      <c r="B13" s="4" t="s">
        <v>198</v>
      </c>
      <c r="C13" s="33" t="s">
        <v>14</v>
      </c>
      <c r="D13" s="4" t="s">
        <v>199</v>
      </c>
      <c r="E13" s="11" t="s">
        <v>189</v>
      </c>
    </row>
    <row r="14" customFormat="false" ht="15" hidden="false" customHeight="false" outlineLevel="0" collapsed="false">
      <c r="A14" s="11" t="s">
        <v>200</v>
      </c>
      <c r="B14" s="4" t="s">
        <v>201</v>
      </c>
      <c r="C14" s="33" t="s">
        <v>14</v>
      </c>
      <c r="D14" s="4" t="s">
        <v>202</v>
      </c>
      <c r="E14" s="11" t="s">
        <v>146</v>
      </c>
    </row>
    <row r="15" customFormat="false" ht="15" hidden="false" customHeight="false" outlineLevel="0" collapsed="false">
      <c r="A15" s="11" t="s">
        <v>134</v>
      </c>
      <c r="B15" s="4" t="s">
        <v>203</v>
      </c>
      <c r="C15" s="33" t="s">
        <v>16</v>
      </c>
      <c r="D15" s="4" t="s">
        <v>204</v>
      </c>
      <c r="E15" s="11" t="s">
        <v>134</v>
      </c>
    </row>
    <row r="16" customFormat="false" ht="15" hidden="false" customHeight="false" outlineLevel="0" collapsed="false">
      <c r="A16" s="11" t="s">
        <v>138</v>
      </c>
      <c r="B16" s="4" t="s">
        <v>205</v>
      </c>
      <c r="C16" s="33" t="s">
        <v>16</v>
      </c>
      <c r="D16" s="4" t="s">
        <v>206</v>
      </c>
      <c r="E16" s="11" t="s">
        <v>138</v>
      </c>
    </row>
    <row r="17" customFormat="false" ht="15" hidden="false" customHeight="false" outlineLevel="0" collapsed="false">
      <c r="A17" s="11" t="s">
        <v>114</v>
      </c>
      <c r="B17" s="4" t="s">
        <v>207</v>
      </c>
      <c r="C17" s="33" t="s">
        <v>18</v>
      </c>
      <c r="D17" s="4" t="s">
        <v>208</v>
      </c>
      <c r="E17" s="11" t="s">
        <v>114</v>
      </c>
    </row>
    <row r="18" customFormat="false" ht="15" hidden="false" customHeight="false" outlineLevel="0" collapsed="false">
      <c r="A18" s="11" t="s">
        <v>119</v>
      </c>
      <c r="B18" s="4" t="s">
        <v>209</v>
      </c>
      <c r="C18" s="33" t="s">
        <v>18</v>
      </c>
      <c r="D18" s="4" t="s">
        <v>210</v>
      </c>
      <c r="E18" s="11" t="s">
        <v>119</v>
      </c>
    </row>
    <row r="19" customFormat="false" ht="15" hidden="false" customHeight="false" outlineLevel="0" collapsed="false">
      <c r="A19" s="11" t="s">
        <v>123</v>
      </c>
      <c r="B19" s="4" t="s">
        <v>211</v>
      </c>
      <c r="C19" s="33" t="s">
        <v>18</v>
      </c>
      <c r="D19" s="4" t="s">
        <v>212</v>
      </c>
      <c r="E19" s="11" t="s">
        <v>123</v>
      </c>
    </row>
    <row r="20" customFormat="false" ht="15" hidden="false" customHeight="false" outlineLevel="0" collapsed="false">
      <c r="A20" s="11" t="s">
        <v>213</v>
      </c>
      <c r="B20" s="4" t="s">
        <v>214</v>
      </c>
      <c r="C20" s="33" t="s">
        <v>14</v>
      </c>
      <c r="D20" s="4" t="s">
        <v>215</v>
      </c>
      <c r="E20" s="11" t="s">
        <v>189</v>
      </c>
    </row>
    <row r="21" customFormat="false" ht="15" hidden="false" customHeight="false" outlineLevel="0" collapsed="false">
      <c r="A21" s="11" t="s">
        <v>216</v>
      </c>
      <c r="B21" s="4" t="s">
        <v>217</v>
      </c>
      <c r="C21" s="33" t="s">
        <v>14</v>
      </c>
      <c r="D21" s="4" t="s">
        <v>218</v>
      </c>
      <c r="E21" s="11" t="s">
        <v>189</v>
      </c>
    </row>
    <row r="22" customFormat="false" ht="15" hidden="false" customHeight="false" outlineLevel="0" collapsed="false">
      <c r="A22" s="11" t="s">
        <v>219</v>
      </c>
      <c r="B22" s="4" t="s">
        <v>220</v>
      </c>
      <c r="C22" s="33" t="s">
        <v>14</v>
      </c>
      <c r="D22" s="4" t="s">
        <v>221</v>
      </c>
      <c r="E22" s="11" t="s">
        <v>189</v>
      </c>
    </row>
    <row r="23" customFormat="false" ht="15" hidden="false" customHeight="false" outlineLevel="0" collapsed="false">
      <c r="A23" s="11" t="s">
        <v>222</v>
      </c>
      <c r="B23" s="4" t="s">
        <v>223</v>
      </c>
      <c r="C23" s="33" t="s">
        <v>14</v>
      </c>
      <c r="D23" s="4" t="s">
        <v>224</v>
      </c>
      <c r="E23" s="11" t="s">
        <v>189</v>
      </c>
    </row>
    <row r="24" customFormat="false" ht="15" hidden="false" customHeight="false" outlineLevel="0" collapsed="false">
      <c r="A24" s="11" t="s">
        <v>225</v>
      </c>
      <c r="B24" s="4" t="s">
        <v>226</v>
      </c>
      <c r="C24" s="33" t="s">
        <v>14</v>
      </c>
      <c r="D24" s="4" t="s">
        <v>227</v>
      </c>
      <c r="E24" s="11" t="s">
        <v>189</v>
      </c>
    </row>
    <row r="25" customFormat="false" ht="15" hidden="false" customHeight="false" outlineLevel="0" collapsed="false">
      <c r="A25" s="11" t="s">
        <v>228</v>
      </c>
      <c r="B25" s="4" t="s">
        <v>229</v>
      </c>
      <c r="C25" s="33" t="s">
        <v>14</v>
      </c>
      <c r="D25" s="4" t="s">
        <v>230</v>
      </c>
      <c r="E25" s="11" t="s">
        <v>189</v>
      </c>
    </row>
    <row r="26" customFormat="false" ht="15" hidden="false" customHeight="false" outlineLevel="0" collapsed="false">
      <c r="A26" s="11" t="s">
        <v>231</v>
      </c>
      <c r="B26" s="4" t="s">
        <v>232</v>
      </c>
      <c r="C26" s="33" t="s">
        <v>16</v>
      </c>
      <c r="D26" s="4" t="s">
        <v>233</v>
      </c>
      <c r="E26" s="11" t="s">
        <v>142</v>
      </c>
    </row>
    <row r="27" customFormat="false" ht="15" hidden="false" customHeight="false" outlineLevel="0" collapsed="false">
      <c r="A27" s="11" t="s">
        <v>150</v>
      </c>
      <c r="B27" s="4" t="s">
        <v>234</v>
      </c>
      <c r="C27" s="33" t="s">
        <v>16</v>
      </c>
      <c r="D27" s="4" t="s">
        <v>235</v>
      </c>
      <c r="E27" s="11" t="s">
        <v>150</v>
      </c>
    </row>
    <row r="28" customFormat="false" ht="15" hidden="false" customHeight="false" outlineLevel="0" collapsed="false">
      <c r="A28" s="11" t="s">
        <v>154</v>
      </c>
      <c r="B28" s="4" t="s">
        <v>236</v>
      </c>
      <c r="C28" s="33" t="s">
        <v>18</v>
      </c>
      <c r="D28" s="4" t="s">
        <v>237</v>
      </c>
      <c r="E28" s="11" t="s">
        <v>154</v>
      </c>
    </row>
    <row r="29" customFormat="false" ht="15" hidden="false" customHeight="false" outlineLevel="0" collapsed="false">
      <c r="A29" s="11" t="s">
        <v>238</v>
      </c>
      <c r="B29" s="4" t="s">
        <v>239</v>
      </c>
      <c r="C29" s="33" t="s">
        <v>14</v>
      </c>
      <c r="D29" s="4" t="s">
        <v>240</v>
      </c>
      <c r="E29" s="11" t="s">
        <v>189</v>
      </c>
    </row>
    <row r="30" customFormat="false" ht="15" hidden="false" customHeight="false" outlineLevel="0" collapsed="false">
      <c r="A30" s="11" t="s">
        <v>158</v>
      </c>
      <c r="B30" s="4" t="s">
        <v>241</v>
      </c>
      <c r="C30" s="33" t="s">
        <v>16</v>
      </c>
      <c r="D30" s="4" t="s">
        <v>242</v>
      </c>
      <c r="E30" s="11" t="s">
        <v>158</v>
      </c>
    </row>
    <row r="31" customFormat="false" ht="15" hidden="false" customHeight="false" outlineLevel="0" collapsed="false">
      <c r="A31" s="11" t="s">
        <v>243</v>
      </c>
      <c r="B31" s="4" t="s">
        <v>244</v>
      </c>
      <c r="C31" s="33" t="s">
        <v>14</v>
      </c>
      <c r="D31" s="4" t="s">
        <v>245</v>
      </c>
      <c r="E31" s="11" t="s">
        <v>189</v>
      </c>
    </row>
    <row r="32" customFormat="false" ht="15" hidden="false" customHeight="false" outlineLevel="0" collapsed="false">
      <c r="A32" s="11" t="s">
        <v>162</v>
      </c>
      <c r="B32" s="4" t="s">
        <v>246</v>
      </c>
      <c r="C32" s="33" t="s">
        <v>16</v>
      </c>
      <c r="D32" s="4" t="s">
        <v>247</v>
      </c>
      <c r="E32" s="11" t="s">
        <v>162</v>
      </c>
    </row>
    <row r="33" customFormat="false" ht="15" hidden="false" customHeight="false" outlineLevel="0" collapsed="false">
      <c r="A33" s="11" t="s">
        <v>166</v>
      </c>
      <c r="B33" s="4" t="s">
        <v>248</v>
      </c>
      <c r="C33" s="33" t="s">
        <v>16</v>
      </c>
      <c r="D33" s="4" t="s">
        <v>249</v>
      </c>
      <c r="E33" s="11" t="s">
        <v>166</v>
      </c>
    </row>
  </sheetData>
  <autoFilter ref="A4:E33"/>
  <conditionalFormatting sqref="C5:C33">
    <cfRule type="cellIs" priority="2" operator="equal" aboveAverage="0" equalAverage="0" bottom="0" percent="0" rank="0" text="" dxfId="17">
      <formula>"Resuelto"</formula>
    </cfRule>
    <cfRule type="cellIs" priority="3" operator="equal" aboveAverage="0" equalAverage="0" bottom="0" percent="0" rank="0" text="" dxfId="18">
      <formula>"Parcial"</formula>
    </cfRule>
    <cfRule type="cellIs" priority="4" operator="equal" aboveAverage="0" equalAverage="0" bottom="0" percent="0" rank="0" text="" dxfId="19">
      <formula>"Abierto"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2"/>
    <col collapsed="false" customWidth="true" hidden="false" outlineLevel="0" max="4" min="4" style="0" width="85"/>
  </cols>
  <sheetData>
    <row r="1" customFormat="false" ht="17.35" hidden="false" customHeight="false" outlineLevel="0" collapsed="false">
      <c r="A1" s="1" t="s">
        <v>250</v>
      </c>
    </row>
    <row r="3" customFormat="false" ht="15" hidden="false" customHeight="false" outlineLevel="0" collapsed="false">
      <c r="A3" s="3" t="s">
        <v>251</v>
      </c>
      <c r="B3" s="3" t="s">
        <v>68</v>
      </c>
      <c r="C3" s="3" t="s">
        <v>252</v>
      </c>
      <c r="D3" s="3" t="s">
        <v>174</v>
      </c>
    </row>
    <row r="4" customFormat="false" ht="15" hidden="false" customHeight="false" outlineLevel="0" collapsed="false">
      <c r="A4" s="11" t="n">
        <v>1</v>
      </c>
      <c r="B4" s="4" t="s">
        <v>253</v>
      </c>
      <c r="C4" s="4" t="s">
        <v>254</v>
      </c>
      <c r="D4" s="4" t="s">
        <v>255</v>
      </c>
    </row>
    <row r="5" customFormat="false" ht="23.85" hidden="false" customHeight="false" outlineLevel="0" collapsed="false">
      <c r="A5" s="11" t="n">
        <v>2</v>
      </c>
      <c r="B5" s="4" t="s">
        <v>256</v>
      </c>
      <c r="C5" s="4" t="s">
        <v>257</v>
      </c>
      <c r="D5" s="4" t="s">
        <v>258</v>
      </c>
    </row>
    <row r="6" customFormat="false" ht="23.85" hidden="false" customHeight="false" outlineLevel="0" collapsed="false">
      <c r="A6" s="11" t="n">
        <v>3</v>
      </c>
      <c r="B6" s="4" t="s">
        <v>259</v>
      </c>
      <c r="C6" s="4" t="s">
        <v>260</v>
      </c>
      <c r="D6" s="4" t="s">
        <v>261</v>
      </c>
    </row>
    <row r="7" customFormat="false" ht="23.85" hidden="false" customHeight="false" outlineLevel="0" collapsed="false">
      <c r="A7" s="11" t="n">
        <v>4</v>
      </c>
      <c r="B7" s="4" t="s">
        <v>262</v>
      </c>
      <c r="C7" s="4" t="s">
        <v>263</v>
      </c>
      <c r="D7" s="4" t="s">
        <v>264</v>
      </c>
    </row>
    <row r="8" customFormat="false" ht="15" hidden="false" customHeight="false" outlineLevel="0" collapsed="false">
      <c r="A8" s="11" t="n">
        <v>5</v>
      </c>
      <c r="B8" s="4" t="s">
        <v>265</v>
      </c>
      <c r="C8" s="4" t="s">
        <v>266</v>
      </c>
      <c r="D8" s="4" t="s">
        <v>267</v>
      </c>
    </row>
    <row r="9" customFormat="false" ht="15" hidden="false" customHeight="false" outlineLevel="0" collapsed="false">
      <c r="A9" s="11" t="n">
        <v>6</v>
      </c>
      <c r="B9" s="4" t="s">
        <v>111</v>
      </c>
      <c r="C9" s="4" t="s">
        <v>268</v>
      </c>
      <c r="D9" s="4" t="s">
        <v>269</v>
      </c>
    </row>
    <row r="10" customFormat="false" ht="23.85" hidden="false" customHeight="false" outlineLevel="0" collapsed="false">
      <c r="A10" s="11" t="n">
        <v>7</v>
      </c>
      <c r="B10" s="4" t="s">
        <v>159</v>
      </c>
      <c r="C10" s="4" t="s">
        <v>270</v>
      </c>
      <c r="D10" s="4" t="s">
        <v>271</v>
      </c>
    </row>
    <row r="11" customFormat="false" ht="15" hidden="false" customHeight="false" outlineLevel="0" collapsed="false">
      <c r="A11" s="11" t="n">
        <v>8</v>
      </c>
      <c r="B11" s="4" t="s">
        <v>272</v>
      </c>
      <c r="C11" s="4" t="s">
        <v>273</v>
      </c>
      <c r="D11" s="4" t="s">
        <v>274</v>
      </c>
    </row>
    <row r="12" customFormat="false" ht="15" hidden="false" customHeight="false" outlineLevel="0" collapsed="false">
      <c r="A12" s="11" t="n">
        <v>9</v>
      </c>
      <c r="B12" s="4" t="s">
        <v>275</v>
      </c>
      <c r="C12" s="4" t="s">
        <v>276</v>
      </c>
      <c r="D12" s="4" t="s">
        <v>277</v>
      </c>
    </row>
    <row r="13" customFormat="false" ht="15" hidden="false" customHeight="false" outlineLevel="0" collapsed="false">
      <c r="A13" s="11" t="n">
        <v>10</v>
      </c>
      <c r="B13" s="4" t="s">
        <v>275</v>
      </c>
      <c r="C13" s="4" t="s">
        <v>278</v>
      </c>
      <c r="D13" s="4"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7" min="3" style="0" width="18"/>
  </cols>
  <sheetData>
    <row r="1" customFormat="false" ht="17.35" hidden="false" customHeight="false" outlineLevel="0" collapsed="false">
      <c r="A1" s="1" t="s">
        <v>280</v>
      </c>
    </row>
    <row r="2" customFormat="false" ht="15" hidden="false" customHeight="false" outlineLevel="0" collapsed="false">
      <c r="A2" s="2" t="s">
        <v>281</v>
      </c>
    </row>
    <row r="4" customFormat="false" ht="15" hidden="false" customHeight="false" outlineLevel="0" collapsed="false">
      <c r="A4" s="3" t="s">
        <v>282</v>
      </c>
      <c r="B4" s="3" t="s">
        <v>283</v>
      </c>
      <c r="C4" s="3" t="s">
        <v>284</v>
      </c>
      <c r="D4" s="3" t="s">
        <v>285</v>
      </c>
      <c r="E4" s="3" t="s">
        <v>286</v>
      </c>
      <c r="F4" s="3" t="s">
        <v>287</v>
      </c>
      <c r="G4" s="3" t="s">
        <v>288</v>
      </c>
    </row>
    <row r="5" customFormat="false" ht="15" hidden="false" customHeight="false" outlineLevel="0" collapsed="false">
      <c r="A5" s="28" t="s">
        <v>289</v>
      </c>
      <c r="B5" s="11" t="s">
        <v>290</v>
      </c>
      <c r="C5" s="11" t="s">
        <v>291</v>
      </c>
      <c r="D5" s="11" t="s">
        <v>292</v>
      </c>
      <c r="E5" s="11" t="s">
        <v>290</v>
      </c>
      <c r="F5" s="11" t="s">
        <v>293</v>
      </c>
      <c r="G5" s="11" t="s">
        <v>294</v>
      </c>
    </row>
    <row r="6" customFormat="false" ht="15" hidden="false" customHeight="false" outlineLevel="0" collapsed="false">
      <c r="A6" s="28" t="s">
        <v>295</v>
      </c>
      <c r="B6" s="11" t="s">
        <v>296</v>
      </c>
      <c r="C6" s="11" t="s">
        <v>297</v>
      </c>
      <c r="D6" s="11" t="s">
        <v>298</v>
      </c>
      <c r="E6" s="11" t="s">
        <v>298</v>
      </c>
      <c r="F6" s="11" t="s">
        <v>299</v>
      </c>
      <c r="G6" s="11" t="s">
        <v>300</v>
      </c>
    </row>
    <row r="7" customFormat="false" ht="15" hidden="false" customHeight="false" outlineLevel="0" collapsed="false">
      <c r="A7" s="28" t="s">
        <v>301</v>
      </c>
      <c r="B7" s="11" t="s">
        <v>302</v>
      </c>
      <c r="C7" s="11" t="s">
        <v>303</v>
      </c>
      <c r="D7" s="11" t="s">
        <v>303</v>
      </c>
      <c r="E7" s="11" t="s">
        <v>303</v>
      </c>
      <c r="F7" s="11" t="s">
        <v>303</v>
      </c>
      <c r="G7" s="11" t="s">
        <v>303</v>
      </c>
    </row>
    <row r="8" customFormat="false" ht="15" hidden="false" customHeight="false" outlineLevel="0" collapsed="false">
      <c r="A8" s="28" t="s">
        <v>259</v>
      </c>
      <c r="B8" s="11" t="s">
        <v>304</v>
      </c>
      <c r="C8" s="11" t="s">
        <v>303</v>
      </c>
      <c r="D8" s="11" t="s">
        <v>303</v>
      </c>
      <c r="E8" s="11" t="s">
        <v>303</v>
      </c>
      <c r="F8" s="11" t="s">
        <v>303</v>
      </c>
      <c r="G8" s="11" t="s">
        <v>305</v>
      </c>
    </row>
    <row r="9" customFormat="false" ht="15" hidden="false" customHeight="false" outlineLevel="0" collapsed="false">
      <c r="A9" s="28" t="s">
        <v>306</v>
      </c>
      <c r="B9" s="11" t="s">
        <v>307</v>
      </c>
      <c r="C9" s="11" t="s">
        <v>303</v>
      </c>
      <c r="D9" s="11" t="s">
        <v>303</v>
      </c>
      <c r="E9" s="11" t="s">
        <v>303</v>
      </c>
      <c r="F9" s="11" t="s">
        <v>303</v>
      </c>
      <c r="G9" s="11" t="s">
        <v>308</v>
      </c>
    </row>
    <row r="10" customFormat="false" ht="15" hidden="false" customHeight="false" outlineLevel="0" collapsed="false">
      <c r="A10" s="28" t="s">
        <v>309</v>
      </c>
      <c r="B10" s="11" t="s">
        <v>310</v>
      </c>
      <c r="C10" s="11" t="s">
        <v>311</v>
      </c>
      <c r="D10" s="11" t="s">
        <v>312</v>
      </c>
      <c r="E10" s="11" t="s">
        <v>313</v>
      </c>
      <c r="F10" s="11" t="s">
        <v>312</v>
      </c>
      <c r="G10" s="11" t="s">
        <v>314</v>
      </c>
    </row>
    <row r="11" customFormat="false" ht="15" hidden="false" customHeight="false" outlineLevel="0" collapsed="false">
      <c r="A11" s="28" t="s">
        <v>315</v>
      </c>
      <c r="B11" s="11" t="s">
        <v>316</v>
      </c>
      <c r="C11" s="11" t="s">
        <v>317</v>
      </c>
      <c r="D11" s="11" t="s">
        <v>317</v>
      </c>
      <c r="E11" s="11" t="s">
        <v>317</v>
      </c>
      <c r="F11" s="11" t="s">
        <v>16</v>
      </c>
      <c r="G11" s="11" t="s">
        <v>318</v>
      </c>
    </row>
    <row r="12" customFormat="false" ht="15" hidden="false" customHeight="false" outlineLevel="0" collapsed="false">
      <c r="A12" s="28" t="s">
        <v>319</v>
      </c>
      <c r="B12" s="11" t="s">
        <v>303</v>
      </c>
      <c r="C12" s="11" t="s">
        <v>311</v>
      </c>
      <c r="D12" s="11" t="s">
        <v>312</v>
      </c>
      <c r="E12" s="11" t="s">
        <v>312</v>
      </c>
      <c r="F12" s="11" t="s">
        <v>303</v>
      </c>
      <c r="G12" s="11" t="s">
        <v>303</v>
      </c>
    </row>
    <row r="13" customFormat="false" ht="15" hidden="false" customHeight="false" outlineLevel="0" collapsed="false">
      <c r="A13" s="28" t="s">
        <v>320</v>
      </c>
      <c r="B13" s="11" t="s">
        <v>303</v>
      </c>
      <c r="C13" s="11" t="s">
        <v>311</v>
      </c>
      <c r="D13" s="11" t="s">
        <v>311</v>
      </c>
      <c r="E13" s="11" t="s">
        <v>311</v>
      </c>
      <c r="F13" s="11" t="s">
        <v>311</v>
      </c>
      <c r="G13" s="11" t="s">
        <v>311</v>
      </c>
    </row>
    <row r="15" customFormat="false" ht="15" hidden="false" customHeight="false" outlineLevel="0" collapsed="false">
      <c r="A15" s="34" t="s">
        <v>321</v>
      </c>
      <c r="B15" s="35" t="n">
        <f aca="false">Scoring!F14</f>
        <v>6.325</v>
      </c>
      <c r="C15" s="36" t="n">
        <v>7</v>
      </c>
      <c r="D15" s="36" t="n">
        <v>8.3</v>
      </c>
      <c r="E15" s="36" t="n">
        <v>8</v>
      </c>
      <c r="F15" s="36" t="n">
        <v>7.5</v>
      </c>
      <c r="G15" s="36" t="n">
        <v>9</v>
      </c>
    </row>
    <row r="16" customFormat="false" ht="15" hidden="false" customHeight="false" outlineLevel="0" collapsed="false">
      <c r="A16" s="34" t="s">
        <v>322</v>
      </c>
      <c r="B16" s="13"/>
      <c r="C16" s="37" t="n">
        <f aca="false">C15-$B$15</f>
        <v>0.675</v>
      </c>
      <c r="D16" s="37" t="n">
        <f aca="false">D15-$B$15</f>
        <v>1.975</v>
      </c>
      <c r="E16" s="37" t="n">
        <f aca="false">E15-$B$15</f>
        <v>1.675</v>
      </c>
      <c r="F16" s="37" t="n">
        <f aca="false">F15-$B$15</f>
        <v>1.175</v>
      </c>
      <c r="G16" s="37" t="n">
        <f aca="false">G15-$B$15</f>
        <v>2.675</v>
      </c>
    </row>
    <row r="17" customFormat="false" ht="15" hidden="false" customHeight="false" outlineLevel="0" collapsed="false">
      <c r="A17" s="34" t="s">
        <v>323</v>
      </c>
      <c r="B17" s="13" t="n">
        <f aca="false">RANK(B15,$B$15:$G$15)</f>
        <v>6</v>
      </c>
      <c r="C17" s="13" t="n">
        <f aca="false">RANK(C15,$B$15:$G$15)</f>
        <v>5</v>
      </c>
      <c r="D17" s="13" t="n">
        <f aca="false">RANK(D15,$B$15:$G$15)</f>
        <v>2</v>
      </c>
      <c r="E17" s="13" t="n">
        <f aca="false">RANK(E15,$B$15:$G$15)</f>
        <v>3</v>
      </c>
      <c r="F17" s="13" t="n">
        <f aca="false">RANK(F15,$B$15:$G$15)</f>
        <v>4</v>
      </c>
      <c r="G17" s="13" t="n">
        <f aca="false">RANK(G15,$B$15:$G$15)</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2"/>
    <col collapsed="false" customWidth="true" hidden="false" outlineLevel="0" max="4" min="4" style="0" width="9"/>
    <col collapsed="false" customWidth="true" hidden="false" outlineLevel="0" max="6" min="5" style="0" width="10"/>
  </cols>
  <sheetData>
    <row r="1" customFormat="false" ht="17.35" hidden="false" customHeight="false" outlineLevel="0" collapsed="false">
      <c r="A1" s="1" t="s">
        <v>324</v>
      </c>
    </row>
    <row r="2" customFormat="false" ht="15" hidden="false" customHeight="false" outlineLevel="0" collapsed="false">
      <c r="A2" s="2" t="s">
        <v>325</v>
      </c>
    </row>
    <row r="4" customFormat="false" ht="15" hidden="false" customHeight="false" outlineLevel="0" collapsed="false">
      <c r="A4" s="3" t="s">
        <v>326</v>
      </c>
      <c r="B4" s="3" t="s">
        <v>327</v>
      </c>
      <c r="C4" s="3" t="s">
        <v>328</v>
      </c>
      <c r="D4" s="3" t="s">
        <v>19</v>
      </c>
      <c r="E4" s="3" t="s">
        <v>329</v>
      </c>
      <c r="F4" s="3" t="s">
        <v>330</v>
      </c>
    </row>
    <row r="5" customFormat="false" ht="15" hidden="false" customHeight="false" outlineLevel="0" collapsed="false">
      <c r="A5" s="11" t="n">
        <v>1</v>
      </c>
      <c r="B5" s="4" t="s">
        <v>331</v>
      </c>
      <c r="C5" s="4" t="s">
        <v>74</v>
      </c>
      <c r="D5" s="11" t="n">
        <f aca="false">COUNTIF('Defectos V5'!$G$5:$G$26,A5)</f>
        <v>1</v>
      </c>
      <c r="E5" s="11" t="n">
        <f aca="false">D5-COUNTIFS('Defectos V5'!$G$5:$G$26,A5,'Defectos V5'!$H$5:$H$26,"Resuelto")-COUNTIFS('Defectos V5'!$G$5:$G$26,A5,'Defectos V5'!$H$5:$H$26,"Descartado")</f>
        <v>1</v>
      </c>
      <c r="F5" s="16" t="n">
        <f aca="false">IF(D5=0,0,(D5-E5)/D5)</f>
        <v>0</v>
      </c>
    </row>
    <row r="6" customFormat="false" ht="23.85" hidden="false" customHeight="false" outlineLevel="0" collapsed="false">
      <c r="A6" s="11" t="n">
        <v>2</v>
      </c>
      <c r="B6" s="4" t="s">
        <v>332</v>
      </c>
      <c r="C6" s="4" t="s">
        <v>179</v>
      </c>
      <c r="D6" s="11" t="n">
        <f aca="false">COUNTIF('Defectos V5'!$G$5:$G$26,A6)</f>
        <v>2</v>
      </c>
      <c r="E6" s="11" t="n">
        <f aca="false">D6-COUNTIFS('Defectos V5'!$G$5:$G$26,A6,'Defectos V5'!$H$5:$H$26,"Resuelto")-COUNTIFS('Defectos V5'!$G$5:$G$26,A6,'Defectos V5'!$H$5:$H$26,"Descartado")</f>
        <v>2</v>
      </c>
      <c r="F6" s="16" t="n">
        <f aca="false">IF(D6=0,0,(D6-E6)/D6)</f>
        <v>0</v>
      </c>
    </row>
    <row r="7" customFormat="false" ht="23.85" hidden="false" customHeight="false" outlineLevel="0" collapsed="false">
      <c r="A7" s="11" t="n">
        <v>3</v>
      </c>
      <c r="B7" s="4" t="s">
        <v>333</v>
      </c>
      <c r="C7" s="4" t="s">
        <v>334</v>
      </c>
      <c r="D7" s="11" t="n">
        <f aca="false">COUNTIF('Defectos V5'!$G$5:$G$26,A7)</f>
        <v>2</v>
      </c>
      <c r="E7" s="11" t="n">
        <f aca="false">D7-COUNTIFS('Defectos V5'!$G$5:$G$26,A7,'Defectos V5'!$H$5:$H$26,"Resuelto")-COUNTIFS('Defectos V5'!$G$5:$G$26,A7,'Defectos V5'!$H$5:$H$26,"Descartado")</f>
        <v>2</v>
      </c>
      <c r="F7" s="16" t="n">
        <f aca="false">IF(D7=0,0,(D7-E7)/D7)</f>
        <v>0</v>
      </c>
    </row>
    <row r="8" customFormat="false" ht="23.85" hidden="false" customHeight="false" outlineLevel="0" collapsed="false">
      <c r="A8" s="11" t="n">
        <v>4</v>
      </c>
      <c r="B8" s="4" t="s">
        <v>335</v>
      </c>
      <c r="C8" s="4" t="s">
        <v>336</v>
      </c>
      <c r="D8" s="11" t="n">
        <f aca="false">COUNTIF('Defectos V5'!$G$5:$G$26,A8)</f>
        <v>2</v>
      </c>
      <c r="E8" s="11" t="n">
        <f aca="false">D8-COUNTIFS('Defectos V5'!$G$5:$G$26,A8,'Defectos V5'!$H$5:$H$26,"Resuelto")-COUNTIFS('Defectos V5'!$G$5:$G$26,A8,'Defectos V5'!$H$5:$H$26,"Descartado")</f>
        <v>2</v>
      </c>
      <c r="F8" s="16" t="n">
        <f aca="false">IF(D8=0,0,(D8-E8)/D8)</f>
        <v>0</v>
      </c>
    </row>
    <row r="9" customFormat="false" ht="15" hidden="false" customHeight="false" outlineLevel="0" collapsed="false">
      <c r="A9" s="11" t="n">
        <v>5</v>
      </c>
      <c r="B9" s="4" t="s">
        <v>337</v>
      </c>
      <c r="C9" s="4" t="s">
        <v>338</v>
      </c>
      <c r="D9" s="11" t="n">
        <f aca="false">COUNTIF('Defectos V5'!$G$5:$G$26,A9)</f>
        <v>3</v>
      </c>
      <c r="E9" s="11" t="n">
        <f aca="false">D9-COUNTIFS('Defectos V5'!$G$5:$G$26,A9,'Defectos V5'!$H$5:$H$26,"Resuelto")-COUNTIFS('Defectos V5'!$G$5:$G$26,A9,'Defectos V5'!$H$5:$H$26,"Descartado")</f>
        <v>3</v>
      </c>
      <c r="F9" s="16" t="n">
        <f aca="false">IF(D9=0,0,(D9-E9)/D9)</f>
        <v>0</v>
      </c>
    </row>
    <row r="10" customFormat="false" ht="15" hidden="false" customHeight="false" outlineLevel="0" collapsed="false">
      <c r="A10" s="11" t="n">
        <v>6</v>
      </c>
      <c r="B10" s="4" t="s">
        <v>339</v>
      </c>
      <c r="C10" s="4" t="s">
        <v>340</v>
      </c>
      <c r="D10" s="11" t="n">
        <f aca="false">COUNTIF('Defectos V5'!$G$5:$G$26,A10)</f>
        <v>2</v>
      </c>
      <c r="E10" s="11" t="n">
        <f aca="false">D10-COUNTIFS('Defectos V5'!$G$5:$G$26,A10,'Defectos V5'!$H$5:$H$26,"Resuelto")-COUNTIFS('Defectos V5'!$G$5:$G$26,A10,'Defectos V5'!$H$5:$H$26,"Descartado")</f>
        <v>2</v>
      </c>
      <c r="F10" s="16" t="n">
        <f aca="false">IF(D10=0,0,(D10-E10)/D10)</f>
        <v>0</v>
      </c>
    </row>
    <row r="11" customFormat="false" ht="15" hidden="false" customHeight="false" outlineLevel="0" collapsed="false">
      <c r="A11" s="11" t="n">
        <v>7</v>
      </c>
      <c r="B11" s="4" t="s">
        <v>341</v>
      </c>
      <c r="C11" s="4" t="s">
        <v>342</v>
      </c>
      <c r="D11" s="11" t="n">
        <f aca="false">COUNTIF('Defectos V5'!$G$5:$G$26,A11)</f>
        <v>3</v>
      </c>
      <c r="E11" s="11" t="n">
        <f aca="false">D11-COUNTIFS('Defectos V5'!$G$5:$G$26,A11,'Defectos V5'!$H$5:$H$26,"Resuelto")-COUNTIFS('Defectos V5'!$G$5:$G$26,A11,'Defectos V5'!$H$5:$H$26,"Descartado")</f>
        <v>3</v>
      </c>
      <c r="F11" s="16" t="n">
        <f aca="false">IF(D11=0,0,(D11-E11)/D11)</f>
        <v>0</v>
      </c>
    </row>
    <row r="12" customFormat="false" ht="15" hidden="false" customHeight="false" outlineLevel="0" collapsed="false">
      <c r="B12" s="38" t="s">
        <v>343</v>
      </c>
      <c r="D12" s="39" t="n">
        <f aca="false">COUNTIF('Defectos V5'!$G$5:$G$26,"Backlog")</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2026-10-03T15:54:29Z</dcterms:created>
  <dc:creator>openpyxl</dc:creator>
  <dc:description/>
  <dc:language>en-US</dc:language>
  <cp:lastModifiedBy/>
  <dcterms:modified xsi:type="dcterms:W3CDTF">2026-10-03T15:54:29Z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